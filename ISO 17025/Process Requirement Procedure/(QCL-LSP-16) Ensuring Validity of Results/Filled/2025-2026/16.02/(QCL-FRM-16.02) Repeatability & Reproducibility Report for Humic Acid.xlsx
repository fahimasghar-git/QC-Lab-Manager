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<sst xmlns="http://schemas.openxmlformats.org/spreadsheetml/2006/main" count="18" uniqueCount="18">
  <si>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</si>
  <si>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</si>
  <si>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</si>
  <si>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</si>
  <si>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</si>
  <si>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</si>
  <si>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</si>
  <si>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</si>
  <si>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</si>
  <si>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</si>
  <si>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</si>
  <si>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</si>
  <si>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</si>
  <si>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</si>
  <si>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</si>
  <si>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Humic Acid</t>
  </si>
  <si>
    <t>Date of Performance: 08-08-2025</t>
  </si>
  <si>
    <t>Method Reference PSQCA Standard: PS 5610:2023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</si>
</sst>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F7" sqref="F7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39"/>
      <c r="B1" s="42" t="s">
        <v>13</v>
      </c>
      <c r="C1" s="42"/>
      <c r="D1" s="42"/>
      <c r="E1" s="42"/>
      <c r="F1" s="43" t="s">
        <v>14</v>
      </c>
      <c r="G1" s="34"/>
      <c r="H1" s="34"/>
      <c r="I1" s="34"/>
      <c r="J1" s="31"/>
      <c r="K1" s="31"/>
      <c r="L1" s="31"/>
    </row>
    <row r="2" spans="1:12" ht="14.5" customHeight="1" x14ac:dyDescent="0.35">
      <c r="A2" s="40"/>
      <c r="B2" s="42"/>
      <c r="C2" s="42"/>
      <c r="D2" s="42"/>
      <c r="E2" s="42"/>
      <c r="F2" s="44"/>
      <c r="G2" s="34"/>
      <c r="H2" s="34"/>
      <c r="I2" s="34"/>
      <c r="J2" s="31"/>
      <c r="K2" s="31"/>
      <c r="L2" s="31"/>
    </row>
    <row r="3" spans="1:12" ht="14.5" customHeight="1" x14ac:dyDescent="0.35">
      <c r="A3" s="41"/>
      <c r="B3" s="42"/>
      <c r="C3" s="42"/>
      <c r="D3" s="42"/>
      <c r="E3" s="42"/>
      <c r="F3" s="45"/>
      <c r="G3" s="34"/>
      <c r="H3" s="34"/>
      <c r="I3" s="34"/>
      <c r="J3" s="31"/>
      <c r="K3" s="31"/>
      <c r="L3" s="31"/>
    </row>
    <row r="4" spans="1:12" ht="15.75" customHeight="1" x14ac:dyDescent="0.35">
      <c r="B4" s="3"/>
      <c r="G4" s="35"/>
      <c r="H4" s="31"/>
      <c r="I4" s="31"/>
      <c r="J4" s="31"/>
      <c r="K4" s="31"/>
      <c r="L4" s="31"/>
    </row>
    <row r="5" spans="1:12" ht="14" customHeight="1" x14ac:dyDescent="0.35">
      <c r="A5" s="52" t="s">
        <v>15</v>
      </c>
      <c r="B5" s="52"/>
      <c r="C5" s="52"/>
      <c r="D5" s="52"/>
      <c r="E5" s="37"/>
      <c r="F5" s="4"/>
      <c r="G5" s="31"/>
      <c r="H5" s="31"/>
      <c r="I5" s="31"/>
      <c r="J5" s="31"/>
      <c r="K5" s="31"/>
      <c r="L5" s="31"/>
    </row>
    <row r="6" spans="1:12" ht="14" customHeight="1" x14ac:dyDescent="0.35">
      <c r="A6" s="53" t="s">
        <v>16</v>
      </c>
      <c r="B6" s="53"/>
      <c r="C6" s="53"/>
      <c r="D6" s="53"/>
      <c r="E6" s="38"/>
      <c r="F6" s="4"/>
      <c r="G6" s="32"/>
      <c r="H6" s="32"/>
      <c r="I6" s="33"/>
      <c r="J6" s="33"/>
      <c r="K6" s="33"/>
      <c r="L6" s="33"/>
    </row>
    <row r="7" spans="1:12" ht="14.5" customHeight="1" x14ac:dyDescent="0.35">
      <c r="A7" s="53" t="s">
        <v>17</v>
      </c>
      <c r="B7" s="53"/>
      <c r="C7" s="53"/>
      <c r="D7" s="53"/>
      <c r="E7" s="38"/>
      <c r="F7" s="4"/>
      <c r="G7" s="32"/>
      <c r="H7" s="32"/>
      <c r="I7" s="33"/>
      <c r="J7" s="33"/>
      <c r="K7" s="33"/>
      <c r="L7" s="33"/>
    </row>
    <row r="8" spans="1:12" ht="14" customHeight="1" x14ac:dyDescent="0.35">
      <c r="G8" s="32"/>
      <c r="H8" s="32"/>
      <c r="I8" s="33"/>
      <c r="J8" s="33"/>
      <c r="K8" s="33"/>
      <c r="L8" s="33"/>
    </row>
    <row r="9" spans="1:12" x14ac:dyDescent="0.35">
      <c r="A9" s="5" t="s">
        <v>0</v>
      </c>
      <c r="B9" s="50" t="s">
        <v>1</v>
      </c>
      <c r="C9" s="50"/>
      <c r="D9" s="50" t="s">
        <v>2</v>
      </c>
      <c r="E9" s="51"/>
      <c r="F9" s="25"/>
      <c r="G9" s="28"/>
      <c r="H9" s="27"/>
      <c r="I9" s="27"/>
      <c r="J9" s="27"/>
      <c r="K9" s="27"/>
      <c r="L9" s="27"/>
    </row>
    <row r="10" spans="1:12" x14ac:dyDescent="0.35">
      <c r="A10" s="36">
        <v>1</v>
      </c>
      <c r="B10" s="48">
        <v>40.94</v>
      </c>
      <c r="C10" s="48"/>
      <c r="D10" s="48">
        <v>41.06</v>
      </c>
      <c r="E10" s="46"/>
      <c r="F10" s="26"/>
      <c r="G10" s="28"/>
      <c r="H10" s="27"/>
      <c r="I10" s="27"/>
      <c r="J10" s="27"/>
      <c r="K10" s="27"/>
      <c r="L10" s="27"/>
    </row>
    <row r="11" spans="1:12" x14ac:dyDescent="0.35">
      <c r="A11" s="36">
        <v>2</v>
      </c>
      <c r="B11" s="48">
        <v>40.9</v>
      </c>
      <c r="C11" s="48"/>
      <c r="D11" s="48">
        <v>40.86</v>
      </c>
      <c r="E11" s="46"/>
      <c r="F11" s="26"/>
      <c r="G11" s="28"/>
      <c r="H11" s="27"/>
      <c r="I11" s="27"/>
      <c r="J11" s="27"/>
      <c r="K11" s="27"/>
      <c r="L11" s="27"/>
    </row>
    <row r="12" spans="1:12" x14ac:dyDescent="0.35">
      <c r="A12" s="36">
        <v>3</v>
      </c>
      <c r="B12" s="48">
        <v>41.1</v>
      </c>
      <c r="C12" s="48"/>
      <c r="D12" s="48">
        <v>41.04</v>
      </c>
      <c r="E12" s="46"/>
      <c r="F12" s="26"/>
      <c r="G12" s="28"/>
      <c r="H12" s="27"/>
      <c r="I12" s="27"/>
      <c r="J12" s="27"/>
      <c r="K12" s="27"/>
      <c r="L12" s="27"/>
    </row>
    <row r="13" spans="1:12" x14ac:dyDescent="0.35">
      <c r="A13" s="36">
        <v>4</v>
      </c>
      <c r="B13" s="48">
        <v>41.08</v>
      </c>
      <c r="C13" s="48"/>
      <c r="D13" s="48">
        <v>41.14</v>
      </c>
      <c r="E13" s="46"/>
      <c r="F13" s="26"/>
      <c r="G13" s="28"/>
      <c r="H13" s="27"/>
      <c r="I13" s="27"/>
      <c r="J13" s="27"/>
      <c r="K13" s="27"/>
      <c r="L13" s="27"/>
    </row>
    <row r="14" spans="1:12" x14ac:dyDescent="0.35">
      <c r="A14" s="36">
        <v>5</v>
      </c>
      <c r="B14" s="48">
        <v>41.16</v>
      </c>
      <c r="C14" s="48"/>
      <c r="D14" s="48">
        <v>40.96</v>
      </c>
      <c r="E14" s="46"/>
      <c r="F14" s="26"/>
      <c r="G14" s="28"/>
      <c r="H14" s="27"/>
      <c r="I14" s="27"/>
      <c r="J14" s="27"/>
      <c r="K14" s="27"/>
      <c r="L14" s="27"/>
    </row>
    <row r="15" spans="1:12" x14ac:dyDescent="0.35">
      <c r="A15" s="36">
        <v>6</v>
      </c>
      <c r="B15" s="48">
        <v>40.880000000000003</v>
      </c>
      <c r="C15" s="48"/>
      <c r="D15" s="48">
        <v>40.92</v>
      </c>
      <c r="E15" s="46"/>
      <c r="F15" s="26"/>
      <c r="G15" s="28"/>
      <c r="H15" s="27"/>
      <c r="I15" s="27"/>
      <c r="J15" s="27"/>
      <c r="K15" s="27"/>
      <c r="L15" s="27"/>
    </row>
    <row r="16" spans="1:12" x14ac:dyDescent="0.35">
      <c r="A16" s="24">
        <v>7</v>
      </c>
      <c r="B16" s="48"/>
      <c r="C16" s="48"/>
      <c r="D16" s="48"/>
      <c r="E16" s="46"/>
      <c r="F16" s="26"/>
      <c r="G16" s="28"/>
      <c r="H16" s="27"/>
      <c r="I16" s="27"/>
      <c r="J16" s="27"/>
      <c r="K16" s="27"/>
      <c r="L16" s="27"/>
    </row>
    <row r="17" spans="1:12" x14ac:dyDescent="0.35">
      <c r="A17" s="24">
        <v>8</v>
      </c>
      <c r="B17" s="48"/>
      <c r="C17" s="48"/>
      <c r="D17" s="48"/>
      <c r="E17" s="46"/>
      <c r="F17" s="26"/>
      <c r="G17" s="28"/>
      <c r="H17" s="27"/>
      <c r="I17" s="27"/>
      <c r="J17" s="27"/>
      <c r="K17" s="27"/>
      <c r="L17" s="27"/>
    </row>
    <row r="18" spans="1:12" x14ac:dyDescent="0.35">
      <c r="A18" s="24">
        <v>9</v>
      </c>
      <c r="B18" s="48"/>
      <c r="C18" s="48"/>
      <c r="D18" s="48"/>
      <c r="E18" s="46"/>
      <c r="F18" s="26"/>
      <c r="G18" s="28"/>
      <c r="H18" s="27"/>
      <c r="I18" s="27"/>
      <c r="J18" s="28"/>
      <c r="K18" s="27"/>
      <c r="L18" s="27"/>
    </row>
    <row r="19" spans="1:12" x14ac:dyDescent="0.35">
      <c r="A19" s="24">
        <v>10</v>
      </c>
      <c r="B19" s="48"/>
      <c r="C19" s="48"/>
      <c r="D19" s="48"/>
      <c r="E19" s="46"/>
      <c r="F19" s="26"/>
      <c r="G19" s="28"/>
      <c r="H19" s="27"/>
      <c r="I19" s="27"/>
      <c r="J19" s="27"/>
      <c r="K19" s="27"/>
      <c r="L19" s="27"/>
    </row>
    <row r="20" spans="1:12" x14ac:dyDescent="0.35">
      <c r="A20" s="24">
        <v>11</v>
      </c>
      <c r="B20" s="46"/>
      <c r="C20" s="47"/>
      <c r="D20" s="46"/>
      <c r="E20" s="47"/>
      <c r="F20" s="26"/>
      <c r="G20" s="28"/>
      <c r="H20" s="27"/>
      <c r="I20" s="27"/>
      <c r="J20" s="27"/>
      <c r="K20" s="27"/>
      <c r="L20" s="27"/>
    </row>
    <row r="21" spans="1:12" x14ac:dyDescent="0.35">
      <c r="A21" s="24">
        <v>12</v>
      </c>
      <c r="B21" s="46"/>
      <c r="C21" s="47"/>
      <c r="D21" s="46"/>
      <c r="E21" s="47"/>
      <c r="F21" s="26"/>
      <c r="G21" s="28"/>
      <c r="H21" s="27"/>
      <c r="I21" s="27"/>
      <c r="J21" s="27"/>
      <c r="K21" s="27"/>
      <c r="L21" s="27"/>
    </row>
    <row r="22" spans="1:12" x14ac:dyDescent="0.35">
      <c r="A22" s="24">
        <v>13</v>
      </c>
      <c r="B22" s="46"/>
      <c r="C22" s="47"/>
      <c r="D22" s="46"/>
      <c r="E22" s="47"/>
      <c r="F22" s="26"/>
      <c r="G22" s="28"/>
      <c r="H22" s="27"/>
      <c r="I22" s="27"/>
      <c r="J22" s="27"/>
      <c r="K22" s="27"/>
      <c r="L22" s="27"/>
    </row>
    <row r="23" spans="1:12" x14ac:dyDescent="0.35">
      <c r="A23" s="24">
        <v>14</v>
      </c>
      <c r="B23" s="46"/>
      <c r="C23" s="47"/>
      <c r="D23" s="46"/>
      <c r="E23" s="47"/>
      <c r="F23" s="26"/>
      <c r="G23" s="28"/>
      <c r="H23" s="27"/>
      <c r="I23" s="27"/>
      <c r="J23" s="27"/>
      <c r="K23" s="27"/>
      <c r="L23" s="27"/>
    </row>
    <row r="24" spans="1:12" x14ac:dyDescent="0.35">
      <c r="A24" s="24">
        <v>15</v>
      </c>
      <c r="B24" s="46"/>
      <c r="C24" s="47"/>
      <c r="D24" s="46"/>
      <c r="E24" s="47"/>
      <c r="F24" s="26"/>
      <c r="G24" s="28"/>
      <c r="H24" s="27"/>
      <c r="I24" s="27"/>
      <c r="J24" s="27"/>
      <c r="K24" s="27"/>
      <c r="L24" s="27"/>
    </row>
    <row r="25" spans="1:12" x14ac:dyDescent="0.35">
      <c r="A25" s="7" t="s">
        <v>3</v>
      </c>
      <c r="B25" s="48">
        <f>IFERROR(AVERAGE(B10:B24),0)</f>
        <v>41.01</v>
      </c>
      <c r="C25" s="48"/>
      <c r="D25" s="46">
        <f>IFERROR(AVERAGE(D10:E24), 0)</f>
        <v>40.99666666666667</v>
      </c>
      <c r="E25" s="49"/>
      <c r="F25" s="26"/>
      <c r="G25" s="28"/>
      <c r="H25" s="27"/>
      <c r="I25" s="27"/>
      <c r="J25" s="27"/>
      <c r="K25" s="27"/>
      <c r="L25" s="27"/>
    </row>
    <row r="26" spans="1:12" x14ac:dyDescent="0.35">
      <c r="A26" s="8" t="s">
        <v>4</v>
      </c>
      <c r="B26" s="48">
        <f>IFERROR(STDEV(B10:B24),0)</f>
        <v>0.11781341180018425</v>
      </c>
      <c r="C26" s="48"/>
      <c r="D26" s="46">
        <f>IFERROR(STDEV(D10:E24), 0)</f>
        <v>0.10230672835481891</v>
      </c>
      <c r="E26" s="49"/>
      <c r="F26" s="26"/>
      <c r="G26" s="28"/>
      <c r="H26" s="27"/>
      <c r="I26" s="27"/>
      <c r="J26" s="27"/>
      <c r="K26" s="27"/>
      <c r="L26" s="27"/>
    </row>
    <row r="27" spans="1:12" x14ac:dyDescent="0.35">
      <c r="G27" s="28"/>
      <c r="H27" s="27"/>
      <c r="I27" s="27"/>
      <c r="J27" s="27"/>
      <c r="K27" s="27"/>
      <c r="L27" s="27"/>
    </row>
    <row r="28" spans="1:12" ht="17.5" customHeight="1" x14ac:dyDescent="0.35">
      <c r="A28" s="9" t="s">
        <v>11</v>
      </c>
      <c r="B28" s="6">
        <f>MAX(B26:E26)</f>
        <v>0.11781341180018425</v>
      </c>
      <c r="C28" s="10" t="s">
        <v>9</v>
      </c>
      <c r="D28" s="6">
        <f>MAX(B10:D24)</f>
        <v>41.16</v>
      </c>
      <c r="G28" s="28"/>
      <c r="H28" s="27"/>
      <c r="I28" s="27"/>
      <c r="J28" s="27"/>
      <c r="K28" s="27"/>
      <c r="L28" s="27"/>
    </row>
    <row r="29" spans="1:12" ht="17" customHeight="1" x14ac:dyDescent="0.35">
      <c r="A29" s="11" t="s">
        <v>5</v>
      </c>
      <c r="B29" s="6">
        <f>IF(B28=B26, B25, IF(B28=D26, D25, IF(B28=D26, D25, "BLANK")))</f>
        <v>41.01</v>
      </c>
      <c r="C29" s="12" t="s">
        <v>10</v>
      </c>
      <c r="D29" s="6">
        <f>MIN(B10:D24)</f>
        <v>40.86</v>
      </c>
      <c r="G29" s="28"/>
      <c r="H29" s="27"/>
      <c r="I29" s="27"/>
      <c r="J29" s="27"/>
      <c r="K29" s="27"/>
      <c r="L29" s="27"/>
    </row>
    <row r="30" spans="1:12" ht="28" x14ac:dyDescent="0.35">
      <c r="A30" s="13" t="s">
        <v>8</v>
      </c>
      <c r="B30" s="6">
        <f>STDEV(B25:D25)</f>
        <v>9.428090415817084E-3</v>
      </c>
      <c r="C30" s="14" t="s">
        <v>12</v>
      </c>
      <c r="D30" s="6">
        <f>AVERAGE(B25:E25)</f>
        <v>41.00333333333333</v>
      </c>
      <c r="G30" s="28"/>
      <c r="H30" s="27"/>
      <c r="I30" s="27"/>
      <c r="J30" s="27"/>
      <c r="K30" s="27"/>
      <c r="L30" s="27"/>
    </row>
    <row r="31" spans="1:12" x14ac:dyDescent="0.35">
      <c r="G31" s="28"/>
      <c r="H31" s="27"/>
      <c r="I31" s="27"/>
      <c r="J31" s="27"/>
      <c r="K31" s="27"/>
      <c r="L31" s="27"/>
    </row>
    <row r="32" spans="1:12" x14ac:dyDescent="0.35">
      <c r="A32" s="15"/>
      <c r="B32" s="15"/>
      <c r="C32" s="15"/>
      <c r="D32" s="15"/>
      <c r="E32" s="15"/>
      <c r="F32" s="15"/>
      <c r="G32" s="30"/>
      <c r="H32" s="27"/>
      <c r="I32" s="27"/>
      <c r="J32" s="27"/>
      <c r="K32" s="27"/>
      <c r="L32" s="27"/>
    </row>
    <row r="33" spans="1:12" x14ac:dyDescent="0.35">
      <c r="A33" s="16"/>
      <c r="B33" s="17"/>
      <c r="C33" s="16"/>
      <c r="D33" s="16"/>
      <c r="E33" s="17"/>
      <c r="F33" s="16"/>
      <c r="G33" s="29"/>
      <c r="H33" s="27"/>
      <c r="I33" s="27"/>
      <c r="J33" s="27"/>
      <c r="K33" s="27"/>
      <c r="L33" s="27"/>
    </row>
    <row r="34" spans="1:12" x14ac:dyDescent="0.35">
      <c r="A34" s="16"/>
      <c r="B34" s="17"/>
      <c r="C34" s="16"/>
      <c r="D34" s="16"/>
      <c r="E34" s="18"/>
      <c r="F34" s="16"/>
      <c r="G34" s="29"/>
      <c r="H34" s="27"/>
      <c r="I34" s="27"/>
      <c r="J34" s="27"/>
      <c r="K34" s="27"/>
      <c r="L34" s="27"/>
    </row>
    <row r="35" spans="1:12" x14ac:dyDescent="0.35">
      <c r="A35" s="16"/>
      <c r="B35" s="16"/>
      <c r="C35" s="16"/>
      <c r="D35" s="16"/>
      <c r="E35" s="19"/>
      <c r="F35" s="16"/>
      <c r="G35" s="29"/>
      <c r="H35" s="27"/>
      <c r="I35" s="27"/>
      <c r="J35" s="27"/>
      <c r="K35" s="27"/>
      <c r="L35" s="27"/>
    </row>
    <row r="36" spans="1:12" x14ac:dyDescent="0.35">
      <c r="A36" s="16"/>
      <c r="B36" s="16"/>
      <c r="C36" s="16"/>
      <c r="D36" s="16"/>
      <c r="E36" s="20"/>
      <c r="F36" s="16"/>
      <c r="G36" s="29"/>
      <c r="H36" s="27"/>
      <c r="I36" s="27"/>
      <c r="J36" s="27"/>
      <c r="K36" s="27"/>
      <c r="L36" s="27"/>
    </row>
    <row r="37" spans="1:12" x14ac:dyDescent="0.35">
      <c r="A37" s="16"/>
      <c r="B37" s="16"/>
      <c r="C37" s="16"/>
      <c r="D37" s="16"/>
      <c r="E37" s="19"/>
      <c r="F37" s="16"/>
      <c r="G37" s="29"/>
      <c r="H37" s="27"/>
      <c r="I37" s="27"/>
      <c r="J37" s="27"/>
      <c r="K37" s="27"/>
      <c r="L37" s="27"/>
    </row>
    <row r="38" spans="1:12" x14ac:dyDescent="0.35">
      <c r="A38" s="16"/>
      <c r="B38" s="16"/>
      <c r="C38" s="16"/>
      <c r="D38" s="16"/>
      <c r="E38" s="18"/>
      <c r="F38" s="16"/>
      <c r="G38" s="29"/>
      <c r="H38" s="27"/>
      <c r="I38" s="27"/>
      <c r="J38" s="27"/>
      <c r="K38" s="27"/>
      <c r="L38" s="27"/>
    </row>
    <row r="39" spans="1:12" x14ac:dyDescent="0.35">
      <c r="A39" s="16"/>
      <c r="B39" s="16"/>
      <c r="C39" s="16"/>
      <c r="D39" s="16"/>
      <c r="E39" s="16"/>
      <c r="F39" s="16"/>
      <c r="G39" s="29"/>
      <c r="H39" s="27"/>
      <c r="I39" s="27"/>
      <c r="J39" s="27"/>
      <c r="K39" s="27"/>
      <c r="L39" s="27"/>
    </row>
    <row r="40" spans="1:12" x14ac:dyDescent="0.35">
      <c r="A40" s="16"/>
      <c r="B40" s="16"/>
      <c r="C40" s="16"/>
      <c r="D40" s="16"/>
      <c r="E40" s="16"/>
      <c r="F40" s="16"/>
      <c r="G40" s="29"/>
      <c r="H40" s="27"/>
      <c r="I40" s="27"/>
      <c r="J40" s="27"/>
      <c r="K40" s="27"/>
      <c r="L40" s="27"/>
    </row>
    <row r="41" spans="1:12" x14ac:dyDescent="0.35">
      <c r="A41" s="16"/>
      <c r="B41" s="16"/>
      <c r="C41" s="16"/>
      <c r="D41" s="16"/>
      <c r="E41" s="16"/>
      <c r="F41" s="16"/>
      <c r="G41" s="29"/>
      <c r="H41" s="27"/>
      <c r="I41" s="27"/>
      <c r="J41" s="27"/>
      <c r="K41" s="27"/>
      <c r="L41" s="27"/>
    </row>
    <row r="42" spans="1:12" x14ac:dyDescent="0.35">
      <c r="A42" s="15"/>
      <c r="B42" s="16"/>
      <c r="C42" s="15"/>
      <c r="D42" s="21"/>
      <c r="E42" s="16"/>
      <c r="F42" s="16"/>
      <c r="G42" s="30"/>
      <c r="H42" s="27"/>
      <c r="I42" s="27"/>
      <c r="J42" s="27"/>
      <c r="K42" s="27"/>
      <c r="L42" s="27"/>
    </row>
    <row r="43" spans="1:12" ht="30" customHeight="1" x14ac:dyDescent="0.35">
      <c r="A43" s="15"/>
      <c r="B43" s="16"/>
      <c r="C43" s="15"/>
      <c r="D43" s="15"/>
      <c r="E43" s="16"/>
      <c r="F43" s="16"/>
      <c r="G43" s="30"/>
      <c r="H43" s="27"/>
      <c r="I43" s="27"/>
      <c r="J43" s="27"/>
      <c r="K43" s="27"/>
      <c r="L43" s="27"/>
    </row>
    <row r="44" spans="1:12" x14ac:dyDescent="0.35">
      <c r="A44" s="15"/>
      <c r="B44" s="17"/>
      <c r="C44" s="15"/>
      <c r="D44" s="15"/>
      <c r="E44" s="16"/>
      <c r="F44" s="16"/>
      <c r="G44" s="30"/>
      <c r="H44" s="27"/>
      <c r="I44" s="27"/>
      <c r="J44" s="27"/>
      <c r="K44" s="27"/>
      <c r="L44" s="27"/>
    </row>
    <row r="45" spans="1:12" x14ac:dyDescent="0.35">
      <c r="A45" s="15"/>
      <c r="B45" s="22"/>
      <c r="C45" s="16"/>
      <c r="D45" s="16"/>
      <c r="E45" s="16"/>
      <c r="F45" s="16"/>
      <c r="G45" s="30"/>
      <c r="H45" s="27"/>
      <c r="I45" s="27"/>
      <c r="J45" s="27"/>
      <c r="K45" s="27"/>
      <c r="L45" s="27"/>
    </row>
    <row r="49" spans="1:4" x14ac:dyDescent="0.35">
      <c r="A49" s="23"/>
      <c r="B49" s="23"/>
      <c r="C49" s="2"/>
      <c r="D49" s="2"/>
    </row>
    <row r="50" spans="1:4" x14ac:dyDescent="0.35">
      <c r="A50" s="23"/>
      <c r="B50" s="23"/>
      <c r="C50" s="2"/>
      <c r="D50" s="2"/>
    </row>
    <row r="51" spans="1:4" x14ac:dyDescent="0.35">
      <c r="A51" s="23"/>
      <c r="B51" s="23"/>
      <c r="C51" s="2"/>
      <c r="D51" s="2"/>
    </row>
  </sheetData>
  <mergeCells count="42">
    <mergeCell ref="B9:C9"/>
    <mergeCell ref="B14:C14"/>
    <mergeCell ref="D14:E14"/>
    <mergeCell ref="A5:D5"/>
    <mergeCell ref="A6:D6"/>
    <mergeCell ref="A7:D7"/>
    <mergeCell ref="D9:E9"/>
    <mergeCell ref="D10:E10"/>
    <mergeCell ref="D21:E21"/>
    <mergeCell ref="B15:C15"/>
    <mergeCell ref="B10:C10"/>
    <mergeCell ref="B11:C11"/>
    <mergeCell ref="B12:C12"/>
    <mergeCell ref="D18:E18"/>
    <mergeCell ref="D11:E11"/>
    <mergeCell ref="D12:E12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25:E25"/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  <mergeCell ref="D19:E19"/>
    <mergeCell ref="B16:C16"/>
    <mergeCell ref="D15:E15"/>
    <mergeCell ref="D16:E16"/>
    <mergeCell ref="D20:E2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2026-06-11T07:56:09Z</dcterms:modified>
</cp:coreProperties>
</file>