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243963F6-63AA-421A-8F18-F4DBE98937B5}" xr6:coauthVersionLast="36" xr6:coauthVersionMax="45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79021"/>
</workbook>
</file>

<file path=xl/calcChain.xml><?xml version="1.0" encoding="utf-8"?>
<calcChain xmlns="http://schemas.openxmlformats.org/spreadsheetml/2006/main">
  <c r="E26" i="1" l="1"/>
  <c r="E25" i="1"/>
  <c r="E29" i="1" l="1"/>
  <c r="E28" i="1"/>
  <c r="C26" i="1" l="1"/>
  <c r="C28" i="1" s="1"/>
  <c r="C25" i="1"/>
  <c r="C29" i="1" l="1"/>
  <c r="C30" i="1"/>
  <c r="E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<sst xmlns="http://schemas.openxmlformats.org/spreadsheetml/2006/main" count="18" uniqueCount="18">
  <si>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</si>
  <si>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</si>
  <si>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</si>
  <si>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</si>
  <si>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</si>
  <si>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</si>
  <si>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</si>
  <si>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</si>
  <si>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</si>
  <si>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</si>
  <si>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</si>
  <si>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</si>
  <si>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</si>
  <si>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Guide-2021(p11-14)</t>
  </si>
  <si>
    <t>Date of Performance 1-1-2024</t>
  </si>
  <si>
    <t>Repeatability and Reproducibility Report</t>
  </si>
  <si>
    <t>Test Title: Phosphate</t>
  </si>
  <si>
    <t xml:space="preserve">Doc Code: QCL-FRM-16.02
Issue Date: 01-10-2024
Revision#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</si>
</sst>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9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5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view="pageLayout" topLeftCell="A28" zoomScaleNormal="90" workbookViewId="0">
      <selection activeCell="A28" sqref="A28"/>
    </sheetView>
  </sheetViews>
  <sheetFormatPr defaultColWidth="9.1796875" defaultRowHeight="14" x14ac:dyDescent="0.35"/>
  <cols>
    <col min="1" max="1" width="3" style="1" bestFit="1" customWidth="1"/>
    <col min="2" max="2" width="16.6328125" style="1" bestFit="1" customWidth="1"/>
    <col min="3" max="4" width="11.36328125" style="1" bestFit="1" customWidth="1"/>
    <col min="5" max="5" width="11.81640625" style="1" bestFit="1" customWidth="1"/>
    <col min="6" max="6" width="12.54296875" style="1" bestFit="1" customWidth="1"/>
    <col min="7" max="7" width="14.08984375" style="1" bestFit="1" customWidth="1"/>
    <col min="8" max="8" width="17.90625" style="1" bestFit="1" customWidth="1"/>
    <col min="9" max="9" width="19.81640625" style="1" bestFit="1" customWidth="1"/>
    <col min="10" max="16384" width="9.1796875" style="5"/>
  </cols>
  <sheetData>
    <row r="1" spans="2:9" ht="14.5" customHeight="1" x14ac:dyDescent="0.35">
      <c r="B1" s="2" t="s">
        <v>17</v>
      </c>
      <c r="C1" s="2"/>
      <c r="D1" s="3" t="s">
        <v>15</v>
      </c>
      <c r="E1" s="3"/>
      <c r="F1" s="3"/>
      <c r="G1" s="3"/>
      <c r="H1" s="3"/>
      <c r="I1" s="4"/>
    </row>
    <row r="2" spans="2:9" ht="14.5" customHeight="1" x14ac:dyDescent="0.35">
      <c r="B2" s="2"/>
      <c r="C2" s="2"/>
      <c r="D2" s="3"/>
      <c r="E2" s="3"/>
      <c r="F2" s="3"/>
      <c r="G2" s="3"/>
      <c r="H2" s="3"/>
      <c r="I2" s="4"/>
    </row>
    <row r="3" spans="2:9" ht="14.5" customHeight="1" x14ac:dyDescent="0.35">
      <c r="B3" s="2"/>
      <c r="C3" s="2"/>
      <c r="D3" s="3"/>
      <c r="E3" s="3"/>
      <c r="F3" s="3"/>
      <c r="G3" s="3"/>
      <c r="H3" s="3"/>
      <c r="I3" s="4"/>
    </row>
    <row r="4" spans="2:9" ht="15.75" customHeight="1" x14ac:dyDescent="0.35">
      <c r="C4" s="6"/>
    </row>
    <row r="5" spans="2:9" x14ac:dyDescent="0.35">
      <c r="B5" s="7" t="s">
        <v>16</v>
      </c>
      <c r="C5" s="8"/>
      <c r="D5" s="9"/>
      <c r="E5" s="9"/>
      <c r="F5" s="9"/>
      <c r="G5" s="9"/>
      <c r="H5" s="9"/>
      <c r="I5" s="10"/>
    </row>
    <row r="6" spans="2:9" ht="29" customHeight="1" x14ac:dyDescent="0.35">
      <c r="B6" s="7" t="s">
        <v>14</v>
      </c>
      <c r="C6" s="11"/>
      <c r="D6" s="12"/>
      <c r="E6" s="9"/>
      <c r="F6" s="9"/>
      <c r="G6" s="9"/>
      <c r="H6" s="9"/>
      <c r="I6" s="10"/>
    </row>
    <row r="7" spans="2:9" ht="14.5" customHeight="1" x14ac:dyDescent="0.35">
      <c r="B7" s="13" t="s">
        <v>13</v>
      </c>
      <c r="C7" s="14"/>
      <c r="D7" s="14"/>
      <c r="E7" s="10"/>
      <c r="F7" s="10"/>
      <c r="G7" s="10"/>
      <c r="H7" s="10"/>
      <c r="I7" s="10"/>
    </row>
    <row r="9" spans="2:9" x14ac:dyDescent="0.35">
      <c r="B9" s="15" t="s">
        <v>0</v>
      </c>
      <c r="C9" s="16" t="s">
        <v>1</v>
      </c>
      <c r="D9" s="16"/>
      <c r="E9" s="16" t="s">
        <v>2</v>
      </c>
      <c r="F9" s="17"/>
      <c r="G9" s="18"/>
      <c r="H9" s="18"/>
    </row>
    <row r="10" spans="2:9" x14ac:dyDescent="0.35">
      <c r="B10" s="19">
        <v>1</v>
      </c>
      <c r="C10" s="20">
        <v>8.59</v>
      </c>
      <c r="D10" s="20"/>
      <c r="E10" s="20">
        <v>8.7100000000000009</v>
      </c>
      <c r="F10" s="21"/>
      <c r="G10" s="22"/>
      <c r="H10" s="22"/>
    </row>
    <row r="11" spans="2:9" x14ac:dyDescent="0.35">
      <c r="B11" s="19">
        <v>2</v>
      </c>
      <c r="C11" s="20">
        <v>8.65</v>
      </c>
      <c r="D11" s="20"/>
      <c r="E11" s="20">
        <v>8.7100000000000009</v>
      </c>
      <c r="F11" s="21"/>
      <c r="G11" s="22"/>
      <c r="H11" s="22"/>
    </row>
    <row r="12" spans="2:9" x14ac:dyDescent="0.35">
      <c r="B12" s="19">
        <v>3</v>
      </c>
      <c r="C12" s="20">
        <v>8.59</v>
      </c>
      <c r="D12" s="20"/>
      <c r="E12" s="20">
        <v>8.65</v>
      </c>
      <c r="F12" s="21"/>
      <c r="G12" s="22"/>
      <c r="H12" s="22"/>
    </row>
    <row r="13" spans="2:9" x14ac:dyDescent="0.35">
      <c r="B13" s="19">
        <v>4</v>
      </c>
      <c r="C13" s="20">
        <v>8.52</v>
      </c>
      <c r="D13" s="20"/>
      <c r="E13" s="20">
        <v>8.59</v>
      </c>
      <c r="F13" s="21"/>
      <c r="G13" s="22"/>
      <c r="H13" s="22"/>
    </row>
    <row r="14" spans="2:9" x14ac:dyDescent="0.35">
      <c r="B14" s="19">
        <v>5</v>
      </c>
      <c r="C14" s="20">
        <v>8.65</v>
      </c>
      <c r="D14" s="20"/>
      <c r="E14" s="20">
        <v>8.65</v>
      </c>
      <c r="F14" s="21"/>
      <c r="G14" s="22"/>
      <c r="H14" s="22"/>
    </row>
    <row r="15" spans="2:9" x14ac:dyDescent="0.35">
      <c r="B15" s="19">
        <v>6</v>
      </c>
      <c r="C15" s="20">
        <v>8.65</v>
      </c>
      <c r="D15" s="20"/>
      <c r="E15" s="20">
        <v>8.77</v>
      </c>
      <c r="F15" s="21"/>
      <c r="G15" s="22"/>
      <c r="H15" s="22"/>
    </row>
    <row r="16" spans="2:9" x14ac:dyDescent="0.35">
      <c r="B16" s="19">
        <v>7</v>
      </c>
      <c r="C16" s="20"/>
      <c r="D16" s="20"/>
      <c r="E16" s="20"/>
      <c r="F16" s="21"/>
      <c r="G16" s="22"/>
      <c r="H16" s="22"/>
    </row>
    <row r="17" spans="1:12" x14ac:dyDescent="0.35">
      <c r="B17" s="19">
        <v>8</v>
      </c>
      <c r="C17" s="20"/>
      <c r="D17" s="20"/>
      <c r="E17" s="20"/>
      <c r="F17" s="21"/>
      <c r="G17" s="22"/>
      <c r="H17" s="22"/>
    </row>
    <row r="18" spans="1:12" x14ac:dyDescent="0.35">
      <c r="B18" s="19">
        <v>9</v>
      </c>
      <c r="C18" s="20"/>
      <c r="D18" s="20"/>
      <c r="E18" s="20"/>
      <c r="F18" s="21"/>
      <c r="G18" s="22"/>
      <c r="H18" s="22"/>
      <c r="L18" s="1"/>
    </row>
    <row r="19" spans="1:12" x14ac:dyDescent="0.35">
      <c r="B19" s="19">
        <v>10</v>
      </c>
      <c r="C19" s="20"/>
      <c r="D19" s="20"/>
      <c r="E19" s="20"/>
      <c r="F19" s="21"/>
      <c r="G19" s="22"/>
      <c r="H19" s="22"/>
    </row>
    <row r="20" spans="1:12" x14ac:dyDescent="0.35">
      <c r="B20" s="19">
        <v>11</v>
      </c>
      <c r="C20" s="20"/>
      <c r="D20" s="20"/>
      <c r="E20" s="20"/>
      <c r="F20" s="21"/>
      <c r="G20" s="22"/>
      <c r="H20" s="22"/>
    </row>
    <row r="21" spans="1:12" x14ac:dyDescent="0.35">
      <c r="B21" s="19">
        <v>12</v>
      </c>
      <c r="C21" s="20"/>
      <c r="D21" s="20"/>
      <c r="E21" s="20"/>
      <c r="F21" s="21"/>
      <c r="G21" s="22"/>
      <c r="H21" s="22"/>
    </row>
    <row r="22" spans="1:12" x14ac:dyDescent="0.35">
      <c r="B22" s="19">
        <v>13</v>
      </c>
      <c r="C22" s="20"/>
      <c r="D22" s="20"/>
      <c r="E22" s="20"/>
      <c r="F22" s="21"/>
      <c r="G22" s="22"/>
      <c r="H22" s="22"/>
    </row>
    <row r="23" spans="1:12" x14ac:dyDescent="0.35">
      <c r="B23" s="19">
        <v>14</v>
      </c>
      <c r="C23" s="20"/>
      <c r="D23" s="20"/>
      <c r="E23" s="20"/>
      <c r="F23" s="21"/>
      <c r="G23" s="22"/>
      <c r="H23" s="22"/>
    </row>
    <row r="24" spans="1:12" x14ac:dyDescent="0.35">
      <c r="B24" s="19">
        <v>15</v>
      </c>
      <c r="C24" s="20"/>
      <c r="D24" s="20"/>
      <c r="E24" s="20"/>
      <c r="F24" s="21"/>
      <c r="G24" s="22"/>
      <c r="H24" s="22"/>
    </row>
    <row r="25" spans="1:12" x14ac:dyDescent="0.35">
      <c r="B25" s="23" t="s">
        <v>3</v>
      </c>
      <c r="C25" s="20">
        <f>IFERROR(AVERAGE(C10:C24),0)</f>
        <v>8.6083333333333325</v>
      </c>
      <c r="D25" s="20"/>
      <c r="E25" s="21">
        <f>IFERROR(AVERAGE(E10:F24), 0)</f>
        <v>8.68</v>
      </c>
      <c r="F25" s="24"/>
      <c r="G25" s="22"/>
      <c r="H25" s="22"/>
    </row>
    <row r="26" spans="1:12" x14ac:dyDescent="0.35">
      <c r="B26" s="25" t="s">
        <v>4</v>
      </c>
      <c r="C26" s="20">
        <f>IFERROR(STDEV(C10:C24),0)</f>
        <v>5.2313159593611824E-2</v>
      </c>
      <c r="D26" s="20"/>
      <c r="E26" s="21">
        <f>IFERROR(STDEV(E10:F24), 0)</f>
        <v>6.2928530890209111E-2</v>
      </c>
      <c r="F26" s="24"/>
      <c r="G26" s="22"/>
      <c r="H26" s="22"/>
    </row>
    <row r="28" spans="1:12" ht="17.5" customHeight="1" x14ac:dyDescent="0.35">
      <c r="B28" s="26" t="s">
        <v>11</v>
      </c>
      <c r="C28" s="19">
        <f>MAX(C26:F26)</f>
        <v>6.2928530890209111E-2</v>
      </c>
      <c r="D28" s="27" t="s">
        <v>9</v>
      </c>
      <c r="E28" s="19">
        <f>MAX(C10:E24)</f>
        <v>8.77</v>
      </c>
    </row>
    <row r="29" spans="1:12" ht="17" customHeight="1" x14ac:dyDescent="0.35">
      <c r="B29" s="28" t="s">
        <v>5</v>
      </c>
      <c r="C29" s="19">
        <f>IF(C28=C26, C25, IF(C28=E26, E25, IF(C28=E26, E25, "BLANK")))</f>
        <v>8.68</v>
      </c>
      <c r="D29" s="29" t="s">
        <v>10</v>
      </c>
      <c r="E29" s="19">
        <f>MIN(C10:E24)</f>
        <v>8.52</v>
      </c>
    </row>
    <row r="30" spans="1:12" ht="20" customHeight="1" x14ac:dyDescent="0.35">
      <c r="B30" s="30" t="s">
        <v>8</v>
      </c>
      <c r="C30" s="19">
        <f>STDEV(C25:E25)</f>
        <v>5.0675985985036288E-2</v>
      </c>
      <c r="D30" s="31" t="s">
        <v>12</v>
      </c>
      <c r="E30" s="19">
        <f>AVERAGE(C25:F25)</f>
        <v>8.644166666666667</v>
      </c>
    </row>
    <row r="32" spans="1:12" x14ac:dyDescent="0.35">
      <c r="A32" s="32"/>
      <c r="B32" s="32"/>
      <c r="C32" s="32"/>
      <c r="D32" s="32"/>
      <c r="E32" s="32"/>
      <c r="F32" s="32"/>
      <c r="G32" s="32"/>
      <c r="H32" s="32"/>
      <c r="I32" s="32"/>
    </row>
    <row r="33" spans="1:9" x14ac:dyDescent="0.35">
      <c r="A33" s="33"/>
      <c r="B33" s="33"/>
      <c r="C33" s="34"/>
      <c r="D33" s="33"/>
      <c r="E33" s="33"/>
      <c r="F33" s="33"/>
      <c r="G33" s="33"/>
      <c r="H33" s="35"/>
      <c r="I33" s="36"/>
    </row>
    <row r="34" spans="1:9" x14ac:dyDescent="0.35">
      <c r="A34" s="33"/>
      <c r="B34" s="33"/>
      <c r="C34" s="37"/>
      <c r="D34" s="33"/>
      <c r="E34" s="33"/>
      <c r="F34" s="38"/>
      <c r="G34" s="33"/>
      <c r="H34" s="35"/>
      <c r="I34" s="36"/>
    </row>
    <row r="35" spans="1:9" x14ac:dyDescent="0.35">
      <c r="A35" s="33"/>
      <c r="B35" s="33"/>
      <c r="C35" s="33"/>
      <c r="D35" s="33"/>
      <c r="E35" s="33"/>
      <c r="F35" s="39"/>
      <c r="G35" s="33"/>
      <c r="H35" s="39"/>
      <c r="I35" s="36"/>
    </row>
    <row r="36" spans="1:9" x14ac:dyDescent="0.35">
      <c r="A36" s="33"/>
      <c r="B36" s="33"/>
      <c r="C36" s="33"/>
      <c r="D36" s="33"/>
      <c r="E36" s="33"/>
      <c r="F36" s="40"/>
      <c r="G36" s="33"/>
      <c r="H36" s="40"/>
      <c r="I36" s="36"/>
    </row>
    <row r="37" spans="1:9" x14ac:dyDescent="0.35">
      <c r="A37" s="33"/>
      <c r="B37" s="33"/>
      <c r="C37" s="33"/>
      <c r="D37" s="33"/>
      <c r="E37" s="33"/>
      <c r="F37" s="38"/>
      <c r="G37" s="33"/>
      <c r="H37" s="35"/>
      <c r="I37" s="36"/>
    </row>
    <row r="38" spans="1:9" x14ac:dyDescent="0.35">
      <c r="A38" s="33"/>
      <c r="B38" s="33"/>
      <c r="C38" s="33"/>
      <c r="D38" s="33"/>
      <c r="E38" s="33"/>
      <c r="F38" s="33"/>
      <c r="G38" s="33"/>
      <c r="H38" s="35"/>
      <c r="I38" s="36"/>
    </row>
    <row r="39" spans="1:9" x14ac:dyDescent="0.35">
      <c r="A39" s="33"/>
      <c r="B39" s="33"/>
      <c r="C39" s="33"/>
      <c r="D39" s="33"/>
      <c r="E39" s="33"/>
      <c r="F39" s="33"/>
      <c r="G39" s="33"/>
      <c r="H39" s="36"/>
      <c r="I39" s="36"/>
    </row>
    <row r="40" spans="1:9" x14ac:dyDescent="0.35">
      <c r="A40" s="33"/>
      <c r="B40" s="33"/>
      <c r="C40" s="33"/>
      <c r="D40" s="33"/>
      <c r="E40" s="33"/>
      <c r="F40" s="33"/>
      <c r="G40" s="33"/>
      <c r="H40" s="36"/>
      <c r="I40" s="36"/>
    </row>
    <row r="41" spans="1:9" x14ac:dyDescent="0.35">
      <c r="A41" s="33"/>
      <c r="B41" s="33"/>
      <c r="C41" s="33"/>
      <c r="D41" s="33"/>
      <c r="E41" s="33"/>
      <c r="F41" s="33"/>
      <c r="G41" s="33"/>
      <c r="H41" s="33"/>
      <c r="I41" s="36"/>
    </row>
    <row r="42" spans="1:9" x14ac:dyDescent="0.35">
      <c r="A42" s="33"/>
      <c r="B42" s="32"/>
      <c r="C42" s="33"/>
      <c r="D42" s="32"/>
      <c r="E42" s="41"/>
      <c r="F42" s="33"/>
      <c r="G42" s="33"/>
      <c r="H42" s="33"/>
      <c r="I42" s="33"/>
    </row>
    <row r="43" spans="1:9" ht="30" customHeight="1" x14ac:dyDescent="0.35">
      <c r="A43" s="33"/>
      <c r="B43" s="32"/>
      <c r="C43" s="33"/>
      <c r="D43" s="32"/>
      <c r="E43" s="32"/>
      <c r="F43" s="33"/>
      <c r="G43" s="33"/>
      <c r="H43" s="33"/>
      <c r="I43" s="33"/>
    </row>
    <row r="44" spans="1:9" x14ac:dyDescent="0.35">
      <c r="A44" s="33"/>
      <c r="B44" s="32"/>
      <c r="C44" s="34"/>
      <c r="D44" s="32"/>
      <c r="E44" s="32"/>
      <c r="F44" s="33"/>
      <c r="G44" s="33"/>
      <c r="H44" s="33"/>
      <c r="I44" s="33"/>
    </row>
    <row r="45" spans="1:9" x14ac:dyDescent="0.35">
      <c r="A45" s="33"/>
      <c r="B45" s="32"/>
      <c r="C45" s="37"/>
      <c r="D45" s="33"/>
      <c r="E45" s="33"/>
      <c r="F45" s="33"/>
      <c r="G45" s="33"/>
      <c r="H45" s="33"/>
      <c r="I45" s="33"/>
    </row>
    <row r="49" spans="2:5" x14ac:dyDescent="0.35">
      <c r="B49" s="42"/>
      <c r="C49" s="42"/>
      <c r="D49" s="5"/>
      <c r="E49" s="5"/>
    </row>
    <row r="50" spans="2:5" x14ac:dyDescent="0.35">
      <c r="B50" s="42"/>
      <c r="C50" s="42"/>
      <c r="D50" s="5"/>
      <c r="E50" s="5"/>
    </row>
    <row r="51" spans="2:5" x14ac:dyDescent="0.35">
      <c r="B51" s="42"/>
      <c r="C51" s="42"/>
      <c r="D51" s="5"/>
      <c r="E51" s="5"/>
    </row>
  </sheetData>
  <mergeCells count="61">
    <mergeCell ref="C17:D17"/>
    <mergeCell ref="C18:D18"/>
    <mergeCell ref="C19:D19"/>
    <mergeCell ref="C20:D20"/>
    <mergeCell ref="G13:H13"/>
    <mergeCell ref="G21:H21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21:D21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E11:F11"/>
    <mergeCell ref="E12:F12"/>
    <mergeCell ref="B1:C3"/>
    <mergeCell ref="B5:C5"/>
    <mergeCell ref="B6:C6"/>
    <mergeCell ref="D5:H5"/>
    <mergeCell ref="D6:H6"/>
    <mergeCell ref="D1:H3"/>
    <mergeCell ref="B7:D7"/>
    <mergeCell ref="C10:D10"/>
    <mergeCell ref="C11:D11"/>
    <mergeCell ref="C12:D12"/>
    <mergeCell ref="G9:H9"/>
    <mergeCell ref="E9:F9"/>
    <mergeCell ref="E10:F10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2024-10-10T07:19:16Z</dcterms:modified>
</cp:coreProperties>
</file>