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green\Dropbox\IS0-17025-2017\Process Requirement Procedure\(QCL-LSP-13) Uncertainty\Filled\Rev# 01\New Sheets\"/>
    </mc:Choice>
  </mc:AlternateContent>
  <xr:revisionPtr revIDLastSave="0" documentId="13_ncr:1_{92CF987C-487B-4B6C-BADD-640B4E9D70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ision Rul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3" l="1"/>
  <c r="E15" i="3"/>
  <c r="F14" i="3"/>
  <c r="E14" i="3"/>
  <c r="I14" i="3" l="1"/>
  <c r="H14" i="3"/>
  <c r="I15" i="3"/>
  <c r="F16" i="3"/>
  <c r="I16" i="3" s="1"/>
  <c r="F17" i="3"/>
  <c r="I17" i="3" s="1"/>
  <c r="H15" i="3"/>
  <c r="E16" i="3"/>
  <c r="H16" i="3" s="1"/>
  <c r="E17" i="3"/>
  <c r="H17" i="3" s="1"/>
  <c r="E13" i="3" l="1"/>
  <c r="H13" i="3" s="1"/>
  <c r="F13" i="3"/>
  <c r="I13" i="3" s="1"/>
  <c r="F12" i="3"/>
  <c r="I12" i="3" s="1"/>
  <c r="E12" i="3"/>
  <c r="H12" i="3" s="1"/>
  <c r="F10" i="3" l="1"/>
  <c r="I10" i="3" s="1"/>
  <c r="F11" i="3"/>
  <c r="I11" i="3" s="1"/>
  <c r="F9" i="3"/>
  <c r="I9" i="3" s="1"/>
  <c r="E10" i="3"/>
  <c r="H10" i="3" s="1"/>
  <c r="E11" i="3"/>
  <c r="H11" i="3" s="1"/>
  <c r="E9" i="3"/>
  <c r="H9" i="3" s="1"/>
</calcChain>
</file>

<file path=xl/sharedStrings.xml><?xml version="1.0" encoding="utf-8"?>
<sst xmlns="http://schemas.openxmlformats.org/spreadsheetml/2006/main" count="45" uniqueCount="38">
  <si>
    <t>Active Ingredient</t>
  </si>
  <si>
    <t>S #</t>
  </si>
  <si>
    <t>Test Parameter</t>
  </si>
  <si>
    <t>FAD Limits (Active Ingredients)</t>
  </si>
  <si>
    <t>QC Lab Acceptable Limits (Pass)</t>
  </si>
  <si>
    <t>Lower Limit</t>
  </si>
  <si>
    <t>Upper Limit</t>
  </si>
  <si>
    <t>QC Lab MU(±)</t>
  </si>
  <si>
    <t>Active Range (%)</t>
  </si>
  <si>
    <t>FAD Tolerances</t>
  </si>
  <si>
    <t>DECISION RULE</t>
  </si>
  <si>
    <t>Upto 2.5</t>
  </si>
  <si>
    <t>&gt;50</t>
  </si>
  <si>
    <t>10--25</t>
  </si>
  <si>
    <t>2.5--10</t>
  </si>
  <si>
    <t>25--50</t>
  </si>
  <si>
    <t>Nitrogen</t>
  </si>
  <si>
    <t>Phosphorus</t>
  </si>
  <si>
    <t>Potassium</t>
  </si>
  <si>
    <t>% w/v</t>
  </si>
  <si>
    <t>Signature:</t>
  </si>
  <si>
    <t>Prepared by (AQCM):</t>
  </si>
  <si>
    <t>Approved by (QCM):</t>
  </si>
  <si>
    <t xml:space="preserve">Date: </t>
  </si>
  <si>
    <t>Date:</t>
  </si>
  <si>
    <t xml:space="preserve">DOC #: QCL-FRM-13.02 </t>
  </si>
  <si>
    <t>REV NO.: 01</t>
  </si>
  <si>
    <t>ISSUE DATE: Oct 01, 2024</t>
  </si>
  <si>
    <t>Sulfur</t>
  </si>
  <si>
    <t>Humic Acid</t>
  </si>
  <si>
    <t>%w/w</t>
  </si>
  <si>
    <t>Boron</t>
  </si>
  <si>
    <t xml:space="preserve">pH </t>
  </si>
  <si>
    <t>Conductivity</t>
  </si>
  <si>
    <t>TDS</t>
  </si>
  <si>
    <t>w/v</t>
  </si>
  <si>
    <t>µS/cm w/v</t>
  </si>
  <si>
    <t>ppm w/v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</si>
</sst>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57151</xdr:colOff>
      <xdr:row>0</xdr:row>
      <xdr:rowOff>57150</xdr:rowOff>
    </xdr:from>
    <xdr:ext cx="2139949" cy="692150"/>
    <xdr:pic>
      <xdr:nvPicPr>
        <xdr:cNvPr id="2" name="Picture 1">
          <a:extLst>
            <a:ext uri="{FF2B5EF4-FFF2-40B4-BE49-F238E27FC236}">
              <a16:creationId xmlns:a16="http://schemas.microsoft.com/office/drawing/2014/main" id="{C5F13EBD-CA41-4C39-B57B-A689E23CD10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57150"/>
          <a:ext cx="2139949" cy="692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view="pageLayout" topLeftCell="A10" zoomScaleNormal="100" workbookViewId="0">
      <selection activeCell="A20" sqref="A20:A21"/>
    </sheetView>
  </sheetViews>
  <sheetFormatPr defaultColWidth="8.77734375" defaultRowHeight="13.8" x14ac:dyDescent="0.25"/>
  <cols>
    <col min="1" max="1" width="6.109375" style="2" customWidth="1"/>
    <col min="2" max="2" width="11.21875" style="2" customWidth="1"/>
    <col min="3" max="3" width="9.21875" style="2" customWidth="1"/>
    <col min="4" max="4" width="9.44140625" style="2" customWidth="1"/>
    <col min="5" max="5" width="11.21875" style="2" customWidth="1"/>
    <col min="6" max="6" width="9.109375" style="2" customWidth="1"/>
    <col min="7" max="7" width="11.21875" style="2" customWidth="1"/>
    <col min="8" max="8" width="9.88671875" style="2" customWidth="1"/>
    <col min="9" max="9" width="9.21875" style="2" customWidth="1"/>
    <col min="10" max="16384" width="8.77734375" style="2"/>
  </cols>
  <sheetData>
    <row r="1" spans="1:9" ht="24" customHeight="1" x14ac:dyDescent="0.25">
      <c r="A1" s="18"/>
      <c r="B1" s="18"/>
      <c r="D1" s="19" t="s">
        <v>25</v>
      </c>
      <c r="E1" s="19"/>
      <c r="F1" s="19"/>
      <c r="G1" s="19"/>
      <c r="H1" s="19"/>
      <c r="I1" s="19"/>
    </row>
    <row r="2" spans="1:9" ht="21" customHeight="1" x14ac:dyDescent="0.25">
      <c r="A2" s="18"/>
      <c r="B2" s="18"/>
      <c r="D2" s="19" t="s">
        <v>26</v>
      </c>
      <c r="E2" s="19"/>
      <c r="F2" s="19"/>
      <c r="G2" s="19"/>
      <c r="H2" s="19"/>
      <c r="I2" s="19"/>
    </row>
    <row r="3" spans="1:9" ht="22.05" customHeight="1" x14ac:dyDescent="0.25">
      <c r="A3" s="18"/>
      <c r="B3" s="18"/>
      <c r="D3" s="19" t="s">
        <v>27</v>
      </c>
      <c r="E3" s="19"/>
      <c r="F3" s="19"/>
      <c r="G3" s="19"/>
      <c r="H3" s="19"/>
      <c r="I3" s="19"/>
    </row>
    <row r="4" spans="1:9" ht="22.95" customHeight="1" x14ac:dyDescent="0.25">
      <c r="A4" s="20" t="s">
        <v>10</v>
      </c>
      <c r="B4" s="20"/>
      <c r="C4" s="20"/>
      <c r="D4" s="20"/>
      <c r="E4" s="20"/>
      <c r="F4" s="20"/>
      <c r="G4" s="20"/>
      <c r="H4" s="20"/>
      <c r="I4" s="20"/>
    </row>
    <row r="5" spans="1:9" ht="25.05" customHeight="1" x14ac:dyDescent="0.25">
      <c r="B5" s="23" t="s">
        <v>8</v>
      </c>
      <c r="C5" s="23"/>
      <c r="D5" s="12" t="s">
        <v>11</v>
      </c>
      <c r="E5" s="12" t="s">
        <v>14</v>
      </c>
      <c r="F5" s="6" t="s">
        <v>13</v>
      </c>
      <c r="G5" s="12" t="s">
        <v>15</v>
      </c>
      <c r="H5" s="12" t="s">
        <v>12</v>
      </c>
    </row>
    <row r="6" spans="1:9" ht="25.05" customHeight="1" x14ac:dyDescent="0.25">
      <c r="B6" s="23" t="s">
        <v>9</v>
      </c>
      <c r="C6" s="23"/>
      <c r="D6" s="7">
        <v>0.15</v>
      </c>
      <c r="E6" s="7">
        <v>0.1</v>
      </c>
      <c r="F6" s="7">
        <v>0.06</v>
      </c>
      <c r="G6" s="7">
        <v>0.05</v>
      </c>
      <c r="H6" s="7">
        <v>0.03</v>
      </c>
    </row>
    <row r="7" spans="1:9" ht="36.450000000000003" customHeight="1" x14ac:dyDescent="0.25">
      <c r="A7" s="4"/>
      <c r="B7" s="4"/>
      <c r="C7" s="4"/>
      <c r="D7" s="4"/>
      <c r="E7" s="22" t="s">
        <v>3</v>
      </c>
      <c r="F7" s="22"/>
      <c r="G7" s="1"/>
      <c r="H7" s="22" t="s">
        <v>4</v>
      </c>
      <c r="I7" s="22"/>
    </row>
    <row r="8" spans="1:9" ht="40.5" customHeight="1" x14ac:dyDescent="0.25">
      <c r="A8" s="1" t="s">
        <v>1</v>
      </c>
      <c r="B8" s="11" t="s">
        <v>2</v>
      </c>
      <c r="C8" s="21" t="s">
        <v>0</v>
      </c>
      <c r="D8" s="21"/>
      <c r="E8" s="11" t="s">
        <v>5</v>
      </c>
      <c r="F8" s="11" t="s">
        <v>6</v>
      </c>
      <c r="G8" s="11" t="s">
        <v>7</v>
      </c>
      <c r="H8" s="11" t="s">
        <v>5</v>
      </c>
      <c r="I8" s="11" t="s">
        <v>6</v>
      </c>
    </row>
    <row r="9" spans="1:9" ht="34.950000000000003" customHeight="1" x14ac:dyDescent="0.25">
      <c r="A9" s="5">
        <v>1</v>
      </c>
      <c r="B9" s="5" t="s">
        <v>16</v>
      </c>
      <c r="C9" s="8">
        <v>8</v>
      </c>
      <c r="D9" s="5" t="s">
        <v>19</v>
      </c>
      <c r="E9" s="9">
        <f>C9-C9*10/100</f>
        <v>7.2</v>
      </c>
      <c r="F9" s="9">
        <f>C9+C9*10/100</f>
        <v>8.8000000000000007</v>
      </c>
      <c r="G9" s="5">
        <v>0.68</v>
      </c>
      <c r="H9" s="10">
        <f>E9+G9</f>
        <v>7.88</v>
      </c>
      <c r="I9" s="10">
        <f>F9-G9</f>
        <v>8.120000000000001</v>
      </c>
    </row>
    <row r="10" spans="1:9" ht="34.950000000000003" customHeight="1" x14ac:dyDescent="0.25">
      <c r="A10" s="5">
        <v>2</v>
      </c>
      <c r="B10" s="5" t="s">
        <v>17</v>
      </c>
      <c r="C10" s="8">
        <v>8</v>
      </c>
      <c r="D10" s="5" t="s">
        <v>19</v>
      </c>
      <c r="E10" s="9">
        <f t="shared" ref="E10:E11" si="0">C10-C10*10/100</f>
        <v>7.2</v>
      </c>
      <c r="F10" s="9">
        <f t="shared" ref="F10:F11" si="1">C10+C10*10/100</f>
        <v>8.8000000000000007</v>
      </c>
      <c r="G10" s="9">
        <v>0.63</v>
      </c>
      <c r="H10" s="10">
        <f t="shared" ref="H10:H17" si="2">E10+G10</f>
        <v>7.83</v>
      </c>
      <c r="I10" s="10">
        <f t="shared" ref="I10:I17" si="3">F10-G10</f>
        <v>8.17</v>
      </c>
    </row>
    <row r="11" spans="1:9" ht="34.950000000000003" customHeight="1" x14ac:dyDescent="0.25">
      <c r="A11" s="5">
        <v>3</v>
      </c>
      <c r="B11" s="5" t="s">
        <v>18</v>
      </c>
      <c r="C11" s="8">
        <v>6</v>
      </c>
      <c r="D11" s="5" t="s">
        <v>19</v>
      </c>
      <c r="E11" s="9">
        <f t="shared" si="0"/>
        <v>5.4</v>
      </c>
      <c r="F11" s="9">
        <f t="shared" si="1"/>
        <v>6.6</v>
      </c>
      <c r="G11" s="9">
        <v>0.59799999999999998</v>
      </c>
      <c r="H11" s="10">
        <f t="shared" si="2"/>
        <v>5.9980000000000002</v>
      </c>
      <c r="I11" s="10">
        <f t="shared" si="3"/>
        <v>6.0019999999999998</v>
      </c>
    </row>
    <row r="12" spans="1:9" ht="34.950000000000003" customHeight="1" x14ac:dyDescent="0.25">
      <c r="A12" s="5">
        <v>4</v>
      </c>
      <c r="B12" s="5" t="s">
        <v>28</v>
      </c>
      <c r="C12" s="8">
        <v>13</v>
      </c>
      <c r="D12" s="5" t="s">
        <v>30</v>
      </c>
      <c r="E12" s="9">
        <f>C12-C12*6/100</f>
        <v>12.22</v>
      </c>
      <c r="F12" s="9">
        <f>C12+C12*6/100</f>
        <v>13.78</v>
      </c>
      <c r="G12" s="5">
        <v>0.64</v>
      </c>
      <c r="H12" s="10">
        <f t="shared" si="2"/>
        <v>12.860000000000001</v>
      </c>
      <c r="I12" s="10">
        <f t="shared" si="3"/>
        <v>13.139999999999999</v>
      </c>
    </row>
    <row r="13" spans="1:9" ht="34.950000000000003" customHeight="1" x14ac:dyDescent="0.25">
      <c r="A13" s="3">
        <v>5</v>
      </c>
      <c r="B13" s="3" t="s">
        <v>29</v>
      </c>
      <c r="C13" s="8">
        <v>40</v>
      </c>
      <c r="D13" s="5" t="s">
        <v>30</v>
      </c>
      <c r="E13" s="9">
        <f>C13-C13*5/100</f>
        <v>38</v>
      </c>
      <c r="F13" s="9">
        <f>C13+C13*5/100</f>
        <v>42</v>
      </c>
      <c r="G13" s="3">
        <v>0.65</v>
      </c>
      <c r="H13" s="10">
        <f t="shared" si="2"/>
        <v>38.65</v>
      </c>
      <c r="I13" s="10">
        <f t="shared" si="3"/>
        <v>41.35</v>
      </c>
    </row>
    <row r="14" spans="1:9" ht="35.549999999999997" customHeight="1" x14ac:dyDescent="0.25">
      <c r="A14" s="3">
        <v>6</v>
      </c>
      <c r="B14" s="3" t="s">
        <v>31</v>
      </c>
      <c r="C14" s="14">
        <v>17</v>
      </c>
      <c r="D14" s="5" t="s">
        <v>30</v>
      </c>
      <c r="E14" s="9">
        <f>C14-C14*6/100</f>
        <v>15.98</v>
      </c>
      <c r="F14" s="9">
        <f>C14+C14*6/100</f>
        <v>18.02</v>
      </c>
      <c r="G14" s="3">
        <v>0.78</v>
      </c>
      <c r="H14" s="10">
        <f t="shared" si="2"/>
        <v>16.760000000000002</v>
      </c>
      <c r="I14" s="10">
        <f t="shared" si="3"/>
        <v>17.239999999999998</v>
      </c>
    </row>
    <row r="15" spans="1:9" ht="36" customHeight="1" x14ac:dyDescent="0.25">
      <c r="A15" s="3">
        <v>7</v>
      </c>
      <c r="B15" s="3" t="s">
        <v>32</v>
      </c>
      <c r="C15" s="3">
        <v>7.5</v>
      </c>
      <c r="D15" s="3" t="s">
        <v>35</v>
      </c>
      <c r="E15" s="9">
        <f>C15-C15*10/100</f>
        <v>6.75</v>
      </c>
      <c r="F15" s="9">
        <f>C15+C15*10/100</f>
        <v>8.25</v>
      </c>
      <c r="G15" s="3">
        <v>0.69</v>
      </c>
      <c r="H15" s="10">
        <f t="shared" si="2"/>
        <v>7.4399999999999995</v>
      </c>
      <c r="I15" s="10">
        <f t="shared" si="3"/>
        <v>7.5600000000000005</v>
      </c>
    </row>
    <row r="16" spans="1:9" ht="34.950000000000003" customHeight="1" x14ac:dyDescent="0.25">
      <c r="A16" s="3">
        <v>8</v>
      </c>
      <c r="B16" s="3" t="s">
        <v>33</v>
      </c>
      <c r="C16" s="3">
        <v>500</v>
      </c>
      <c r="D16" s="3" t="s">
        <v>36</v>
      </c>
      <c r="E16" s="9">
        <f t="shared" ref="E16:E17" si="4">C16-C16*5/100</f>
        <v>475</v>
      </c>
      <c r="F16" s="9">
        <f t="shared" ref="F16:F17" si="5">C16+C16*5/100</f>
        <v>525</v>
      </c>
      <c r="G16" s="3">
        <v>1.39</v>
      </c>
      <c r="H16" s="10">
        <f t="shared" si="2"/>
        <v>476.39</v>
      </c>
      <c r="I16" s="10">
        <f t="shared" si="3"/>
        <v>523.61</v>
      </c>
    </row>
    <row r="17" spans="1:9" ht="36" customHeight="1" x14ac:dyDescent="0.25">
      <c r="A17" s="3">
        <v>9</v>
      </c>
      <c r="B17" s="3" t="s">
        <v>34</v>
      </c>
      <c r="C17" s="3">
        <v>250</v>
      </c>
      <c r="D17" s="3" t="s">
        <v>37</v>
      </c>
      <c r="E17" s="9">
        <f t="shared" si="4"/>
        <v>237.5</v>
      </c>
      <c r="F17" s="9">
        <f t="shared" si="5"/>
        <v>262.5</v>
      </c>
      <c r="G17" s="3">
        <v>1.3879999999999999</v>
      </c>
      <c r="H17" s="10">
        <f t="shared" si="2"/>
        <v>238.88800000000001</v>
      </c>
      <c r="I17" s="10">
        <f t="shared" si="3"/>
        <v>261.11200000000002</v>
      </c>
    </row>
    <row r="22" spans="1:9" ht="26.55" customHeight="1" x14ac:dyDescent="0.25">
      <c r="A22" s="16" t="s">
        <v>21</v>
      </c>
      <c r="B22" s="16"/>
      <c r="C22" s="16"/>
      <c r="D22" s="16"/>
      <c r="E22" s="13"/>
      <c r="F22" s="13"/>
      <c r="G22" s="16" t="s">
        <v>22</v>
      </c>
      <c r="H22" s="16"/>
      <c r="I22" s="16"/>
    </row>
    <row r="23" spans="1:9" ht="70.5" customHeight="1" x14ac:dyDescent="0.25">
      <c r="A23" s="17" t="s">
        <v>20</v>
      </c>
      <c r="B23" s="17"/>
      <c r="C23" s="17"/>
      <c r="D23" s="17"/>
      <c r="G23" s="17" t="s">
        <v>20</v>
      </c>
      <c r="H23" s="17"/>
      <c r="I23" s="17"/>
    </row>
    <row r="24" spans="1:9" ht="15.6" x14ac:dyDescent="0.25">
      <c r="A24" s="15" t="s">
        <v>23</v>
      </c>
      <c r="B24" s="15"/>
      <c r="C24" s="15"/>
      <c r="D24" s="15"/>
      <c r="G24" s="15" t="s">
        <v>24</v>
      </c>
      <c r="H24" s="15"/>
      <c r="I24" s="15"/>
    </row>
  </sheetData>
  <mergeCells count="16">
    <mergeCell ref="C8:D8"/>
    <mergeCell ref="E7:F7"/>
    <mergeCell ref="H7:I7"/>
    <mergeCell ref="B5:C5"/>
    <mergeCell ref="B6:C6"/>
    <mergeCell ref="A1:B3"/>
    <mergeCell ref="D1:I1"/>
    <mergeCell ref="D2:I2"/>
    <mergeCell ref="D3:I3"/>
    <mergeCell ref="A4:I4"/>
    <mergeCell ref="G24:I24"/>
    <mergeCell ref="A24:D24"/>
    <mergeCell ref="G22:I22"/>
    <mergeCell ref="A22:D22"/>
    <mergeCell ref="G23:I23"/>
    <mergeCell ref="A23:D23"/>
  </mergeCells>
  <pageMargins left="0.7" right="0.7" top="0.55000000000000004" bottom="0.75" header="0.3" footer="0.3"/>
  <pageSetup paperSize="9" orientation="portrait" verticalDpi="4294967295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vgreen</cp:lastModifiedBy>
  <cp:lastPrinted>2026-06-11T11:54:25Z</cp:lastPrinted>
  <dcterms:created xsi:type="dcterms:W3CDTF">2015-06-05T18:17:20Z</dcterms:created>
  <dcterms:modified xsi:type="dcterms:W3CDTF">2026-06-16T12:31:08Z</dcterms:modified>
</cp:coreProperties>
</file>