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10" yWindow="-110" windowWidth="23260" windowHeight="12580" firstSheet="1" activeTab="1"/>
  </bookViews>
  <sheets>
    <sheet name="Hide" sheetId="5" state="hidden" r:id="rId1"/>
    <sheet name="Uncertainty Budget" sheetId="1" r:id="rId2"/>
  </sheets>
  <definedNames>
    <definedName name="A">'Uncertainty Budget'!$B$40:$B$42</definedName>
    <definedName name="B">'Uncertainty Budget'!$C$40:$C$41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  <c r="H32" i="1" s="1"/>
  <c r="I32" i="1" s="1"/>
  <c r="F29" i="1" l="1"/>
  <c r="H29" i="1" s="1"/>
  <c r="F28" i="1"/>
  <c r="H28" i="1" s="1"/>
  <c r="F27" i="1"/>
  <c r="H27" i="1" s="1"/>
  <c r="F26" i="1"/>
  <c r="H26" i="1" s="1"/>
  <c r="I26" i="1" s="1"/>
  <c r="E19" i="1" l="1"/>
  <c r="E18" i="1"/>
  <c r="E21" i="1" l="1"/>
  <c r="E20" i="1"/>
  <c r="E35" i="1" l="1"/>
  <c r="E36" i="1" s="1"/>
  <c r="I27" i="1"/>
  <c r="I28" i="1"/>
  <c r="I29" i="1"/>
  <c r="F30" i="1"/>
  <c r="H30" i="1" s="1"/>
  <c r="F31" i="1"/>
  <c r="H31" i="1" s="1"/>
  <c r="I31" i="1" l="1"/>
  <c r="I30" i="1"/>
  <c r="C19" i="1"/>
  <c r="C20" i="1" s="1"/>
  <c r="C18" i="1"/>
  <c r="C21" i="1" l="1"/>
  <c r="G24" i="1" s="1"/>
  <c r="C22" i="1"/>
  <c r="C25" i="1" s="1"/>
  <c r="F25" i="1" s="1"/>
  <c r="E22" i="1"/>
  <c r="G25" i="1" s="1"/>
  <c r="H25" i="1" l="1"/>
  <c r="I25" i="1" s="1"/>
  <c r="C24" i="1"/>
  <c r="F24" i="1" s="1"/>
  <c r="H24" i="1" s="1"/>
  <c r="I24" i="1" s="1"/>
  <c r="C34" i="1" l="1"/>
  <c r="C36" i="1" s="1"/>
  <c r="C37" i="1" s="1"/>
</calcChain>
</file>

<file path=xl/sharedStrings.xml><?xml version="1.0" encoding="utf-8"?>
<sst xmlns="http://schemas.openxmlformats.org/spreadsheetml/2006/main" count="50" uniqueCount="39">
  <si>
    <t>S/N</t>
  </si>
  <si>
    <t>Analyst 1</t>
  </si>
  <si>
    <t>Analyst 2</t>
  </si>
  <si>
    <t>Average</t>
  </si>
  <si>
    <t>SU</t>
  </si>
  <si>
    <t>Max SU:</t>
  </si>
  <si>
    <t>X Estimate:</t>
  </si>
  <si>
    <t>CL (K)</t>
  </si>
  <si>
    <t>@</t>
  </si>
  <si>
    <t>Sources of Uncertainty</t>
  </si>
  <si>
    <t>Uncertainty</t>
  </si>
  <si>
    <t>Uncertainty Contribution</t>
  </si>
  <si>
    <t>A</t>
  </si>
  <si>
    <t>SN</t>
  </si>
  <si>
    <t>Type A / B</t>
  </si>
  <si>
    <t>K Factor</t>
  </si>
  <si>
    <t>Average / Value</t>
  </si>
  <si>
    <t>Relative Uncertainty</t>
  </si>
  <si>
    <t>Combined Uncertainty</t>
  </si>
  <si>
    <t>B</t>
  </si>
  <si>
    <t>=</t>
  </si>
  <si>
    <t>Reproducibility</t>
  </si>
  <si>
    <t>MAX Value</t>
  </si>
  <si>
    <t>Min Value</t>
  </si>
  <si>
    <t>Repeatability</t>
  </si>
  <si>
    <t>Grand Mean</t>
  </si>
  <si>
    <t>Value in Units (+/-)</t>
  </si>
  <si>
    <t>Expanded Uncertainty (%)</t>
  </si>
  <si>
    <t>Measurement of Uncertainty</t>
  </si>
  <si>
    <t>Pipette (1mL)</t>
  </si>
  <si>
    <t>Flask (100mL)</t>
  </si>
  <si>
    <t>Analytical Balance</t>
  </si>
  <si>
    <t>Hygrometer</t>
  </si>
  <si>
    <t>Doc Code: QCL-FRM-13.01
Issue Date: 01-10-2024
Revision#: 01</t>
  </si>
  <si>
    <t>Oven</t>
  </si>
  <si>
    <t>Test Title: Humic Acid</t>
  </si>
  <si>
    <t>Method Reference PSQCA Standard: PS 5610:2023</t>
  </si>
  <si>
    <t>Mechanical Shaker</t>
  </si>
  <si>
    <t>Date of Performance: 08-08-2025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</si>
</sst>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000"/>
    <numFmt numFmtId="165" formatCode="0.00000000"/>
    <numFmt numFmtId="166" formatCode="0.000"/>
    <numFmt numFmtId="167" formatCode="0.0000000"/>
    <numFmt numFmtId="168" formatCode="0.0000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83821</xdr:colOff>
      <xdr:row>0</xdr:row>
      <xdr:rowOff>45720</xdr:rowOff>
    </xdr:from>
    <xdr:ext cx="982980" cy="457200"/>
    <xdr:pic>
      <xdr:nvPicPr>
        <xdr:cNvPr id="2" name="Picture 1">
          <a:extLst>
            <a:ext uri="{FF2B5EF4-FFF2-40B4-BE49-F238E27FC236}">
              <a16:creationId xmlns:a16="http://schemas.microsoft.com/office/drawing/2014/main" id="{28F66379-A597-4B7E-AE5F-0DD6538A89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1" y="45720"/>
          <a:ext cx="982980" cy="4572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"/>
  <sheetViews>
    <sheetView workbookViewId="0">
      <selection activeCell="D3" sqref="D3"/>
    </sheetView>
  </sheetViews>
  <sheetFormatPr defaultRowHeight="14.5" x14ac:dyDescent="0.35"/>
  <sheetData>
    <row r="3" spans="2:4" x14ac:dyDescent="0.35">
      <c r="B3" t="s">
        <v>12</v>
      </c>
      <c r="D3">
        <v>1</v>
      </c>
    </row>
    <row r="4" spans="2:4" x14ac:dyDescent="0.35">
      <c r="B4" t="s">
        <v>19</v>
      </c>
      <c r="D4">
        <v>2</v>
      </c>
    </row>
    <row r="5" spans="2:4" x14ac:dyDescent="0.35">
      <c r="D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view="pageLayout" topLeftCell="A33" zoomScaleNormal="90" workbookViewId="0">
      <selection activeCell="C39" sqref="C39"/>
    </sheetView>
  </sheetViews>
  <sheetFormatPr defaultColWidth="9.1796875" defaultRowHeight="14" x14ac:dyDescent="0.35"/>
  <cols>
    <col min="1" max="1" width="3" style="1" customWidth="1"/>
    <col min="2" max="2" width="14.453125" style="1" customWidth="1"/>
    <col min="3" max="3" width="11.1796875" style="1" customWidth="1"/>
    <col min="4" max="4" width="9.1796875" style="1" customWidth="1"/>
    <col min="5" max="5" width="9.08984375" style="1" customWidth="1"/>
    <col min="6" max="6" width="11.6328125" style="1" customWidth="1"/>
    <col min="7" max="7" width="9.81640625" style="1" customWidth="1"/>
    <col min="8" max="8" width="11.08984375" style="1" customWidth="1"/>
    <col min="9" max="9" width="10.90625" style="1" customWidth="1"/>
    <col min="10" max="16384" width="9.1796875" style="2"/>
  </cols>
  <sheetData>
    <row r="1" spans="1:12" ht="14.5" customHeight="1" x14ac:dyDescent="0.35">
      <c r="A1" s="29"/>
      <c r="B1" s="29"/>
      <c r="C1" s="36" t="s">
        <v>28</v>
      </c>
      <c r="D1" s="36"/>
      <c r="E1" s="36"/>
      <c r="F1" s="36"/>
      <c r="G1" s="37" t="s">
        <v>33</v>
      </c>
      <c r="H1" s="37"/>
      <c r="I1" s="37"/>
    </row>
    <row r="2" spans="1:12" ht="14.5" customHeight="1" x14ac:dyDescent="0.35">
      <c r="A2" s="29"/>
      <c r="B2" s="29"/>
      <c r="C2" s="36"/>
      <c r="D2" s="36"/>
      <c r="E2" s="36"/>
      <c r="F2" s="36"/>
      <c r="G2" s="37"/>
      <c r="H2" s="37"/>
      <c r="I2" s="37"/>
    </row>
    <row r="3" spans="1:12" ht="14.5" customHeight="1" x14ac:dyDescent="0.35">
      <c r="A3" s="29"/>
      <c r="B3" s="29"/>
      <c r="C3" s="36"/>
      <c r="D3" s="36"/>
      <c r="E3" s="36"/>
      <c r="F3" s="36"/>
      <c r="G3" s="37"/>
      <c r="H3" s="37"/>
      <c r="I3" s="37"/>
    </row>
    <row r="4" spans="1:12" ht="13.75" customHeight="1" x14ac:dyDescent="0.35">
      <c r="B4" s="27" t="s">
        <v>35</v>
      </c>
      <c r="C4" s="27"/>
      <c r="D4" s="27"/>
      <c r="E4" s="27"/>
      <c r="F4" s="3"/>
      <c r="G4" s="3"/>
      <c r="H4" s="3"/>
      <c r="I4" s="3"/>
    </row>
    <row r="5" spans="1:12" ht="18" customHeight="1" x14ac:dyDescent="0.35">
      <c r="B5" s="28" t="s">
        <v>38</v>
      </c>
      <c r="C5" s="28"/>
      <c r="D5" s="28"/>
      <c r="E5" s="28"/>
      <c r="F5" s="3"/>
      <c r="G5" s="3"/>
      <c r="H5" s="3"/>
      <c r="I5" s="3"/>
    </row>
    <row r="6" spans="1:12" ht="14.5" customHeight="1" x14ac:dyDescent="0.35">
      <c r="B6" s="28" t="s">
        <v>36</v>
      </c>
      <c r="C6" s="28"/>
      <c r="D6" s="28"/>
      <c r="E6" s="28"/>
      <c r="F6" s="3"/>
      <c r="G6" s="3"/>
      <c r="H6" s="3"/>
      <c r="I6" s="3"/>
    </row>
    <row r="7" spans="1:12" x14ac:dyDescent="0.35">
      <c r="B7" s="4" t="s">
        <v>0</v>
      </c>
      <c r="C7" s="31" t="s">
        <v>1</v>
      </c>
      <c r="D7" s="31"/>
      <c r="E7" s="31" t="s">
        <v>2</v>
      </c>
      <c r="F7" s="32"/>
      <c r="G7" s="30"/>
      <c r="H7" s="30"/>
    </row>
    <row r="8" spans="1:12" x14ac:dyDescent="0.35">
      <c r="B8" s="5">
        <v>1</v>
      </c>
      <c r="C8" s="29">
        <v>40.94</v>
      </c>
      <c r="D8" s="29"/>
      <c r="E8" s="29">
        <v>41.06</v>
      </c>
      <c r="F8" s="33"/>
      <c r="G8" s="34"/>
      <c r="H8" s="34"/>
    </row>
    <row r="9" spans="1:12" x14ac:dyDescent="0.35">
      <c r="B9" s="5">
        <v>2</v>
      </c>
      <c r="C9" s="29">
        <v>40.9</v>
      </c>
      <c r="D9" s="29"/>
      <c r="E9" s="29">
        <v>40.86</v>
      </c>
      <c r="F9" s="33"/>
      <c r="G9" s="34"/>
      <c r="H9" s="34"/>
    </row>
    <row r="10" spans="1:12" x14ac:dyDescent="0.35">
      <c r="B10" s="5">
        <v>3</v>
      </c>
      <c r="C10" s="29">
        <v>41.1</v>
      </c>
      <c r="D10" s="29"/>
      <c r="E10" s="29">
        <v>41.04</v>
      </c>
      <c r="F10" s="33"/>
      <c r="G10" s="34"/>
      <c r="H10" s="34"/>
    </row>
    <row r="11" spans="1:12" x14ac:dyDescent="0.35">
      <c r="B11" s="5">
        <v>4</v>
      </c>
      <c r="C11" s="29">
        <v>41.08</v>
      </c>
      <c r="D11" s="29"/>
      <c r="E11" s="29">
        <v>41.14</v>
      </c>
      <c r="F11" s="33"/>
      <c r="G11" s="34"/>
      <c r="H11" s="34"/>
    </row>
    <row r="12" spans="1:12" x14ac:dyDescent="0.35">
      <c r="B12" s="5">
        <v>5</v>
      </c>
      <c r="C12" s="29">
        <v>41.16</v>
      </c>
      <c r="D12" s="29"/>
      <c r="E12" s="29">
        <v>40.96</v>
      </c>
      <c r="F12" s="33"/>
      <c r="G12" s="34"/>
      <c r="H12" s="34"/>
    </row>
    <row r="13" spans="1:12" x14ac:dyDescent="0.35">
      <c r="B13" s="5">
        <v>6</v>
      </c>
      <c r="C13" s="29">
        <v>40.880000000000003</v>
      </c>
      <c r="D13" s="29"/>
      <c r="E13" s="29">
        <v>40.92</v>
      </c>
      <c r="F13" s="33"/>
      <c r="G13" s="34"/>
      <c r="H13" s="34"/>
    </row>
    <row r="14" spans="1:12" x14ac:dyDescent="0.35">
      <c r="B14" s="5">
        <v>7</v>
      </c>
      <c r="C14" s="29"/>
      <c r="D14" s="29"/>
      <c r="E14" s="29"/>
      <c r="F14" s="33"/>
      <c r="G14" s="34"/>
      <c r="H14" s="34"/>
    </row>
    <row r="15" spans="1:12" x14ac:dyDescent="0.35">
      <c r="B15" s="5">
        <v>8</v>
      </c>
      <c r="C15" s="29"/>
      <c r="D15" s="29"/>
      <c r="E15" s="29"/>
      <c r="F15" s="33"/>
      <c r="G15" s="34"/>
      <c r="H15" s="34"/>
    </row>
    <row r="16" spans="1:12" x14ac:dyDescent="0.35">
      <c r="B16" s="5">
        <v>9</v>
      </c>
      <c r="C16" s="29"/>
      <c r="D16" s="29"/>
      <c r="E16" s="29"/>
      <c r="F16" s="33"/>
      <c r="G16" s="34"/>
      <c r="H16" s="34"/>
      <c r="L16" s="1"/>
    </row>
    <row r="17" spans="1:9" x14ac:dyDescent="0.35">
      <c r="B17" s="5">
        <v>10</v>
      </c>
      <c r="C17" s="29"/>
      <c r="D17" s="29"/>
      <c r="E17" s="29"/>
      <c r="F17" s="33"/>
      <c r="G17" s="34"/>
      <c r="H17" s="34"/>
    </row>
    <row r="18" spans="1:9" x14ac:dyDescent="0.35">
      <c r="B18" s="6" t="s">
        <v>3</v>
      </c>
      <c r="C18" s="29">
        <f>IFERROR(AVERAGE(C8:C17),0)</f>
        <v>41.01</v>
      </c>
      <c r="D18" s="29"/>
      <c r="E18" s="33">
        <f>IFERROR(AVERAGE(E8:F17), 0)</f>
        <v>40.99666666666667</v>
      </c>
      <c r="F18" s="35"/>
      <c r="G18" s="34"/>
      <c r="H18" s="34"/>
    </row>
    <row r="19" spans="1:9" x14ac:dyDescent="0.35">
      <c r="B19" s="7" t="s">
        <v>4</v>
      </c>
      <c r="C19" s="29">
        <f>IFERROR(STDEV(C8:C17),0)</f>
        <v>0.11781341180018425</v>
      </c>
      <c r="D19" s="29"/>
      <c r="E19" s="33">
        <f>IFERROR(STDEV(E8:F17), 0)</f>
        <v>0.10230672835481891</v>
      </c>
      <c r="F19" s="35"/>
      <c r="G19" s="34"/>
      <c r="H19" s="34"/>
    </row>
    <row r="20" spans="1:9" ht="26" x14ac:dyDescent="0.35">
      <c r="B20" s="8" t="s">
        <v>5</v>
      </c>
      <c r="C20" s="5">
        <f>MAX(C19:F19)</f>
        <v>0.11781341180018425</v>
      </c>
      <c r="D20" s="23" t="s">
        <v>22</v>
      </c>
      <c r="E20" s="5">
        <f>MAX(C8:E17)</f>
        <v>41.16</v>
      </c>
    </row>
    <row r="21" spans="1:9" ht="28" x14ac:dyDescent="0.35">
      <c r="B21" s="9" t="s">
        <v>6</v>
      </c>
      <c r="C21" s="5">
        <f>IF(C20=C19, C18, IF(C20=E19, E18, IF(C20=E19, E18, "BLANK")))</f>
        <v>41.01</v>
      </c>
      <c r="D21" s="10" t="s">
        <v>23</v>
      </c>
      <c r="E21" s="5">
        <f>MIN(C8:E17)</f>
        <v>40.86</v>
      </c>
    </row>
    <row r="22" spans="1:9" ht="26" x14ac:dyDescent="0.35">
      <c r="B22" s="11" t="s">
        <v>21</v>
      </c>
      <c r="C22" s="5">
        <f>STDEV(C18:E18)</f>
        <v>9.428090415817084E-3</v>
      </c>
      <c r="D22" s="24" t="s">
        <v>25</v>
      </c>
      <c r="E22" s="5">
        <f>AVERAGE(C18:F18)</f>
        <v>41.00333333333333</v>
      </c>
    </row>
    <row r="23" spans="1:9" ht="42" x14ac:dyDescent="0.35">
      <c r="A23" s="13" t="s">
        <v>13</v>
      </c>
      <c r="B23" s="13" t="s">
        <v>9</v>
      </c>
      <c r="C23" s="13" t="s">
        <v>10</v>
      </c>
      <c r="D23" s="13" t="s">
        <v>14</v>
      </c>
      <c r="E23" s="13" t="s">
        <v>15</v>
      </c>
      <c r="F23" s="13" t="s">
        <v>11</v>
      </c>
      <c r="G23" s="13" t="s">
        <v>16</v>
      </c>
      <c r="H23" s="13" t="s">
        <v>17</v>
      </c>
      <c r="I23" s="13" t="s">
        <v>18</v>
      </c>
    </row>
    <row r="24" spans="1:9" x14ac:dyDescent="0.35">
      <c r="A24" s="5">
        <v>1</v>
      </c>
      <c r="B24" s="5" t="s">
        <v>24</v>
      </c>
      <c r="C24" s="14">
        <f>C20</f>
        <v>0.11781341180018425</v>
      </c>
      <c r="D24" s="5" t="s">
        <v>12</v>
      </c>
      <c r="E24" s="5">
        <v>1</v>
      </c>
      <c r="F24" s="14">
        <f>IF(E24=2, C24/1.96, IF(E24=3, C24/2.58, IF(E24=1, C24/1, C24/1.73)))</f>
        <v>0.11781341180018425</v>
      </c>
      <c r="G24" s="5">
        <f>C21</f>
        <v>41.01</v>
      </c>
      <c r="H24" s="15">
        <f>F24/G24</f>
        <v>2.8727971665492378E-3</v>
      </c>
      <c r="I24" s="15">
        <f>H24*H24</f>
        <v>8.2529635601333293E-6</v>
      </c>
    </row>
    <row r="25" spans="1:9" x14ac:dyDescent="0.35">
      <c r="A25" s="5">
        <v>2</v>
      </c>
      <c r="B25" s="5" t="s">
        <v>21</v>
      </c>
      <c r="C25" s="14">
        <f>C22</f>
        <v>9.428090415817084E-3</v>
      </c>
      <c r="D25" s="5" t="s">
        <v>12</v>
      </c>
      <c r="E25" s="5">
        <v>1</v>
      </c>
      <c r="F25" s="15">
        <f>IF(E25=2, C25/1.96, IF(E25=3, C25/2.58, IF(E25=1, C25/1, C25/1.73)))</f>
        <v>9.428090415817084E-3</v>
      </c>
      <c r="G25" s="25">
        <f>E22</f>
        <v>41.00333333333333</v>
      </c>
      <c r="H25" s="15">
        <f>F25/G25</f>
        <v>2.2993473089546584E-4</v>
      </c>
      <c r="I25" s="15">
        <f>H25*H25</f>
        <v>5.2869980471970295E-8</v>
      </c>
    </row>
    <row r="26" spans="1:9" x14ac:dyDescent="0.35">
      <c r="A26" s="5">
        <v>3</v>
      </c>
      <c r="B26" s="5" t="s">
        <v>29</v>
      </c>
      <c r="C26" s="5">
        <v>6.0000000000000001E-3</v>
      </c>
      <c r="D26" s="5" t="s">
        <v>19</v>
      </c>
      <c r="E26" s="5">
        <v>2</v>
      </c>
      <c r="F26" s="16">
        <f t="shared" ref="F26:F28" si="0">IF(E26=2, C26/1.96, IF(E26=3, C26/2.58, IF(E26=1, C26/1, C26/1.73)))</f>
        <v>3.0612244897959186E-3</v>
      </c>
      <c r="G26" s="5">
        <v>1</v>
      </c>
      <c r="H26" s="15">
        <f t="shared" ref="H26" si="1">F26/G26</f>
        <v>3.0612244897959186E-3</v>
      </c>
      <c r="I26" s="15">
        <f t="shared" ref="I26:I29" si="2">H26*H26</f>
        <v>9.3710953769262823E-6</v>
      </c>
    </row>
    <row r="27" spans="1:9" x14ac:dyDescent="0.35">
      <c r="A27" s="5">
        <v>4</v>
      </c>
      <c r="B27" s="5" t="s">
        <v>30</v>
      </c>
      <c r="C27" s="5">
        <v>0.01</v>
      </c>
      <c r="D27" s="5" t="s">
        <v>19</v>
      </c>
      <c r="E27" s="5">
        <v>2</v>
      </c>
      <c r="F27" s="17">
        <f t="shared" si="0"/>
        <v>5.1020408163265311E-3</v>
      </c>
      <c r="G27" s="5">
        <v>100</v>
      </c>
      <c r="H27" s="15">
        <f>F27/G27*100</f>
        <v>5.1020408163265311E-3</v>
      </c>
      <c r="I27" s="15">
        <f t="shared" si="2"/>
        <v>2.6030820491461895E-5</v>
      </c>
    </row>
    <row r="28" spans="1:9" x14ac:dyDescent="0.35">
      <c r="A28" s="5">
        <v>5</v>
      </c>
      <c r="B28" s="5" t="s">
        <v>34</v>
      </c>
      <c r="C28" s="5">
        <v>0.48</v>
      </c>
      <c r="D28" s="5" t="s">
        <v>19</v>
      </c>
      <c r="E28" s="5">
        <v>2</v>
      </c>
      <c r="F28" s="16">
        <f t="shared" si="0"/>
        <v>0.24489795918367346</v>
      </c>
      <c r="G28" s="5">
        <v>400</v>
      </c>
      <c r="H28" s="15">
        <f>F28/G28*100</f>
        <v>6.1224489795918366E-2</v>
      </c>
      <c r="I28" s="15">
        <f t="shared" si="2"/>
        <v>3.7484381507705122E-3</v>
      </c>
    </row>
    <row r="29" spans="1:9" ht="28" x14ac:dyDescent="0.35">
      <c r="A29" s="5">
        <v>6</v>
      </c>
      <c r="B29" s="5" t="s">
        <v>31</v>
      </c>
      <c r="C29" s="5">
        <v>1E-4</v>
      </c>
      <c r="D29" s="5" t="s">
        <v>19</v>
      </c>
      <c r="E29" s="5">
        <v>2</v>
      </c>
      <c r="F29" s="15">
        <f>IF(E29=2, C29/1.96, IF(E29=3, C29/2.58, IF(E29=1, C29/1, C29/1.73)))</f>
        <v>5.1020408163265308E-5</v>
      </c>
      <c r="G29" s="5">
        <v>220</v>
      </c>
      <c r="H29" s="15">
        <f t="shared" ref="H29:H32" si="3">IFERROR(F29/G29*100,0)</f>
        <v>2.3191094619666051E-5</v>
      </c>
      <c r="I29" s="15">
        <f t="shared" si="2"/>
        <v>5.3782686965830369E-10</v>
      </c>
    </row>
    <row r="30" spans="1:9" x14ac:dyDescent="0.35">
      <c r="A30" s="5">
        <v>8</v>
      </c>
      <c r="B30" s="5" t="s">
        <v>32</v>
      </c>
      <c r="C30" s="5">
        <v>0.62</v>
      </c>
      <c r="D30" s="5" t="s">
        <v>19</v>
      </c>
      <c r="E30" s="5">
        <v>2</v>
      </c>
      <c r="F30" s="5">
        <f>IF(E30=2, C30/1.96, IF(E30=3, C30/2.58, IF(E30=1, C30/1, C30/1.73)))</f>
        <v>0.31632653061224492</v>
      </c>
      <c r="G30" s="5">
        <v>100</v>
      </c>
      <c r="H30" s="15">
        <f t="shared" si="3"/>
        <v>0.31632653061224492</v>
      </c>
      <c r="I30" s="15">
        <f t="shared" ref="I30:I32" si="4">H30*H30</f>
        <v>0.10006247396917951</v>
      </c>
    </row>
    <row r="31" spans="1:9" ht="28" x14ac:dyDescent="0.35">
      <c r="A31" s="5">
        <v>9</v>
      </c>
      <c r="B31" s="5" t="s">
        <v>37</v>
      </c>
      <c r="C31" s="5">
        <v>0.09</v>
      </c>
      <c r="D31" s="5" t="s">
        <v>19</v>
      </c>
      <c r="E31" s="5">
        <v>2</v>
      </c>
      <c r="F31" s="5">
        <f>IF(E31=2, C31/1.96, IF(E31=3, C31/2.58, IF(E31=1, C31/1, C31/1.73)))</f>
        <v>4.5918367346938778E-2</v>
      </c>
      <c r="G31" s="5">
        <v>250</v>
      </c>
      <c r="H31" s="15">
        <f t="shared" si="3"/>
        <v>1.8367346938775512E-2</v>
      </c>
      <c r="I31" s="15">
        <f t="shared" si="4"/>
        <v>3.3735943356934619E-4</v>
      </c>
    </row>
    <row r="32" spans="1:9" x14ac:dyDescent="0.35">
      <c r="A32" s="5">
        <v>10</v>
      </c>
      <c r="B32" s="5"/>
      <c r="C32" s="5"/>
      <c r="D32" s="5"/>
      <c r="E32" s="5"/>
      <c r="F32" s="5">
        <f>IF(E32=2, C32/1.96, IF(E32=3, C32/2.58, IF(E32=1, C32/1, C32/1.73)))</f>
        <v>0</v>
      </c>
      <c r="G32" s="5"/>
      <c r="H32" s="15">
        <f t="shared" si="3"/>
        <v>0</v>
      </c>
      <c r="I32" s="15">
        <f t="shared" si="4"/>
        <v>0</v>
      </c>
    </row>
    <row r="34" spans="2:5" ht="33.5" customHeight="1" x14ac:dyDescent="0.35">
      <c r="B34" s="13" t="s">
        <v>18</v>
      </c>
      <c r="C34" s="5">
        <f>SQRT(SUM(I24:I31))</f>
        <v>0.32278782480253998</v>
      </c>
      <c r="D34" s="18" t="s">
        <v>8</v>
      </c>
      <c r="E34" s="19">
        <v>0.68</v>
      </c>
    </row>
    <row r="35" spans="2:5" ht="21" customHeight="1" x14ac:dyDescent="0.35">
      <c r="B35" s="12" t="s">
        <v>7</v>
      </c>
      <c r="C35" s="5">
        <v>2</v>
      </c>
      <c r="D35" s="18" t="s">
        <v>20</v>
      </c>
      <c r="E35" s="18" t="str">
        <f>IF(C35=2, "CL 95%", IF(C35=3, "CL 99%", IF(C35=1, "CL 67%", "Please Give K")))</f>
        <v>CL 95%</v>
      </c>
    </row>
    <row r="36" spans="2:5" ht="30.5" customHeight="1" x14ac:dyDescent="0.35">
      <c r="B36" s="26" t="s">
        <v>27</v>
      </c>
      <c r="C36" s="17">
        <f>C34*C35</f>
        <v>0.64557564960507996</v>
      </c>
      <c r="D36" s="18" t="s">
        <v>8</v>
      </c>
      <c r="E36" s="18" t="str">
        <f>E35</f>
        <v>CL 95%</v>
      </c>
    </row>
    <row r="37" spans="2:5" ht="28" x14ac:dyDescent="0.35">
      <c r="B37" s="20" t="s">
        <v>26</v>
      </c>
      <c r="C37" s="21">
        <f>(C36*C21)/100</f>
        <v>0.2647505739030433</v>
      </c>
    </row>
    <row r="40" spans="2:5" x14ac:dyDescent="0.35">
      <c r="B40" s="22"/>
      <c r="C40" s="22"/>
      <c r="D40" s="2"/>
      <c r="E40" s="2"/>
    </row>
    <row r="41" spans="2:5" x14ac:dyDescent="0.35">
      <c r="B41" s="22"/>
      <c r="C41" s="22"/>
      <c r="D41" s="2"/>
      <c r="E41" s="2"/>
    </row>
    <row r="42" spans="2:5" x14ac:dyDescent="0.35">
      <c r="B42" s="22"/>
      <c r="C42" s="22"/>
      <c r="D42" s="2"/>
      <c r="E42" s="2"/>
    </row>
  </sheetData>
  <mergeCells count="45">
    <mergeCell ref="A1:B3"/>
    <mergeCell ref="C1:F3"/>
    <mergeCell ref="G1:I3"/>
    <mergeCell ref="C15:D15"/>
    <mergeCell ref="C16:D16"/>
    <mergeCell ref="E15:F15"/>
    <mergeCell ref="E16:F16"/>
    <mergeCell ref="G15:H15"/>
    <mergeCell ref="G16:H16"/>
    <mergeCell ref="C12:D12"/>
    <mergeCell ref="E12:F12"/>
    <mergeCell ref="G12:H12"/>
    <mergeCell ref="C13:D13"/>
    <mergeCell ref="C11:D11"/>
    <mergeCell ref="E11:F11"/>
    <mergeCell ref="G11:H11"/>
    <mergeCell ref="C17:D17"/>
    <mergeCell ref="G18:H18"/>
    <mergeCell ref="G19:H19"/>
    <mergeCell ref="E18:F18"/>
    <mergeCell ref="E19:F19"/>
    <mergeCell ref="C18:D18"/>
    <mergeCell ref="C19:D19"/>
    <mergeCell ref="E17:F17"/>
    <mergeCell ref="G17:H17"/>
    <mergeCell ref="C14:D14"/>
    <mergeCell ref="E13:F13"/>
    <mergeCell ref="E14:F14"/>
    <mergeCell ref="G13:H13"/>
    <mergeCell ref="G14:H14"/>
    <mergeCell ref="C10:D10"/>
    <mergeCell ref="G7:H7"/>
    <mergeCell ref="E7:F7"/>
    <mergeCell ref="E8:F8"/>
    <mergeCell ref="E9:F9"/>
    <mergeCell ref="E10:F10"/>
    <mergeCell ref="G10:H10"/>
    <mergeCell ref="G9:H9"/>
    <mergeCell ref="G8:H8"/>
    <mergeCell ref="C7:D7"/>
    <mergeCell ref="B4:E4"/>
    <mergeCell ref="B5:E5"/>
    <mergeCell ref="B6:E6"/>
    <mergeCell ref="C8:D8"/>
    <mergeCell ref="C9:D9"/>
  </mergeCells>
  <phoneticPr fontId="1" type="noConversion"/>
  <pageMargins left="0.7" right="0.7" top="0.75" bottom="0.75" header="0.3" footer="0.3"/>
  <pageSetup orientation="portrait" r:id="rId1"/>
  <headerFooter>
    <oddFooter>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Hide!$D$3:$D$5</xm:f>
          </x14:formula1>
          <xm:sqref>C35</xm:sqref>
        </x14:dataValidation>
        <x14:dataValidation type="list" allowBlank="1" showInputMessage="1" showErrorMessage="1">
          <x14:formula1>
            <xm:f>Hide!$B$3:$B$4</xm:f>
          </x14:formula1>
          <xm:sqref>D24:D28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Hide</vt:lpstr>
      <vt:lpstr>Uncertainty Budget</vt:lpstr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2010-01-08T06:13:27Z</cp:lastPrinted>
  <dcterms:created xsi:type="dcterms:W3CDTF">2006-09-16T00:00:00Z</dcterms:created>
  <dcterms:modified xsi:type="dcterms:W3CDTF">2026-02-14T04:22:22Z</dcterms:modified>
</cp:coreProperties>
</file>