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E014A7CA-8863-465C-8D4D-4062C2F8D4FE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Budget'!$B$41:$B$43</definedName>
    <definedName name="B">'Uncertainty Budget'!$C$41:$C$42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H33" i="1" s="1"/>
  <c r="I33" i="1" s="1"/>
  <c r="F30" i="1" l="1"/>
  <c r="H30" i="1" s="1"/>
  <c r="F29" i="1"/>
  <c r="H29" i="1" s="1"/>
  <c r="F28" i="1"/>
  <c r="H28" i="1" s="1"/>
  <c r="F27" i="1"/>
  <c r="H27" i="1" s="1"/>
  <c r="I27" i="1" s="1"/>
  <c r="E20" i="1" l="1"/>
  <c r="E19" i="1"/>
  <c r="E22" i="1" l="1"/>
  <c r="E21" i="1"/>
  <c r="E36" i="1" l="1"/>
  <c r="E37" i="1" s="1"/>
  <c r="I28" i="1"/>
  <c r="I29" i="1"/>
  <c r="I30" i="1"/>
  <c r="F31" i="1"/>
  <c r="H31" i="1" s="1"/>
  <c r="F32" i="1"/>
  <c r="H32" i="1" s="1"/>
  <c r="I32" i="1" l="1"/>
  <c r="I31" i="1"/>
  <c r="C20" i="1"/>
  <c r="C21" i="1" s="1"/>
  <c r="C19" i="1"/>
  <c r="C22" i="1" l="1"/>
  <c r="G25" i="1" s="1"/>
  <c r="C23" i="1"/>
  <c r="C26" i="1" s="1"/>
  <c r="F26" i="1" s="1"/>
  <c r="E23" i="1"/>
  <c r="G26" i="1" s="1"/>
  <c r="H26" i="1" l="1"/>
  <c r="I26" i="1" s="1"/>
  <c r="C25" i="1"/>
  <c r="F25" i="1" s="1"/>
  <c r="H25" i="1" s="1"/>
  <c r="I25" i="1" s="1"/>
  <c r="C35" i="1" l="1"/>
  <c r="C37" i="1" s="1"/>
  <c r="C38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<sst xmlns="http://schemas.openxmlformats.org/spreadsheetml/2006/main" count="48" uniqueCount="38">
  <si>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</si>
  <si>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</si>
  <si>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</si>
  <si>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</si>
  <si>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</si>
  <si>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</si>
  <si>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</si>
  <si>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</si>
  <si>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</si>
  <si>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</si>
  <si>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</si>
  <si>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</si>
  <si>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</si>
  <si>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</si>
  <si>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</si>
  <si>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</si>
  <si>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</si>
  <si>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</si>
  <si>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</si>
  <si>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</si>
  <si>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</si>
  <si>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</si>
  <si>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</si>
  <si>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</si>
  <si>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</si>
  <si>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</si>
  <si>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</si>
  <si>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</si>
  <si>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</si>
  <si>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</si>
  <si>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Flask (100mL)</t>
  </si>
  <si>
    <t>Analytical Balance</t>
  </si>
  <si>
    <t>Hygrometer</t>
  </si>
  <si>
    <t>Doc Code: QCL-FRM-13.01
Issue Date: 01-10-2024
Revision#: 01</t>
  </si>
  <si>
    <t>Test Title: Sulfur</t>
  </si>
  <si>
    <t>Method Reference PSQCA Standard: PS 217:2023</t>
  </si>
  <si>
    <t>Oven</t>
  </si>
  <si>
    <t>Date of Performance: 07-08-2025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</si>
</sst>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0000"/>
    <numFmt numFmtId="166" formatCode="0.00000000"/>
    <numFmt numFmtId="167" formatCode="0.000"/>
    <numFmt numFmtId="168" formatCode="0.0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D354213-4CD4-424C-93DD-04A89F678FF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19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view="pageLayout" zoomScaleNormal="90" workbookViewId="0">
      <selection sqref="A1:I3"/>
    </sheetView>
  </sheetViews>
  <sheetFormatPr defaultColWidth="9.21875" defaultRowHeight="13.8" x14ac:dyDescent="0.3"/>
  <cols>
    <col min="1" max="1" width="3" style="1" bestFit="1" customWidth="1"/>
    <col min="2" max="2" width="15.44140625" style="1" customWidth="1"/>
    <col min="3" max="3" width="11" style="1" customWidth="1"/>
    <col min="4" max="4" width="8.44140625" style="1" customWidth="1"/>
    <col min="5" max="5" width="8.109375" style="1" customWidth="1"/>
    <col min="6" max="6" width="11.77734375" style="1" customWidth="1"/>
    <col min="7" max="7" width="9.109375" style="1" customWidth="1"/>
    <col min="8" max="8" width="11.21875" style="1" customWidth="1"/>
    <col min="9" max="9" width="12.33203125" style="1" customWidth="1"/>
    <col min="10" max="16384" width="9.21875" style="2"/>
  </cols>
  <sheetData>
    <row r="1" spans="1:9" ht="14.55" customHeight="1" x14ac:dyDescent="0.3">
      <c r="A1" s="28"/>
      <c r="B1" s="28"/>
      <c r="C1" s="35" t="s">
        <v>28</v>
      </c>
      <c r="D1" s="35"/>
      <c r="E1" s="35"/>
      <c r="F1" s="35"/>
      <c r="G1" s="36" t="s">
        <v>33</v>
      </c>
      <c r="H1" s="36"/>
      <c r="I1" s="36"/>
    </row>
    <row r="2" spans="1:9" ht="14.55" customHeight="1" x14ac:dyDescent="0.3">
      <c r="A2" s="28"/>
      <c r="B2" s="28"/>
      <c r="C2" s="35"/>
      <c r="D2" s="35"/>
      <c r="E2" s="35"/>
      <c r="F2" s="35"/>
      <c r="G2" s="36"/>
      <c r="H2" s="36"/>
      <c r="I2" s="36"/>
    </row>
    <row r="3" spans="1:9" ht="14.55" customHeight="1" x14ac:dyDescent="0.3">
      <c r="A3" s="28"/>
      <c r="B3" s="28"/>
      <c r="C3" s="35"/>
      <c r="D3" s="35"/>
      <c r="E3" s="35"/>
      <c r="F3" s="35"/>
      <c r="G3" s="36"/>
      <c r="H3" s="36"/>
      <c r="I3" s="36"/>
    </row>
    <row r="4" spans="1:9" x14ac:dyDescent="0.3">
      <c r="B4" s="26" t="s">
        <v>34</v>
      </c>
      <c r="C4" s="27"/>
      <c r="D4" s="27"/>
      <c r="E4" s="27"/>
      <c r="F4" s="3"/>
      <c r="G4" s="3"/>
      <c r="H4" s="3"/>
      <c r="I4" s="3"/>
    </row>
    <row r="5" spans="1:9" ht="28.95" customHeight="1" x14ac:dyDescent="0.3">
      <c r="B5" s="26" t="s">
        <v>37</v>
      </c>
      <c r="C5" s="27"/>
      <c r="D5" s="27"/>
      <c r="E5" s="27"/>
      <c r="F5" s="3"/>
      <c r="G5" s="3"/>
      <c r="H5" s="3"/>
      <c r="I5" s="3"/>
    </row>
    <row r="6" spans="1:9" ht="14.55" customHeight="1" x14ac:dyDescent="0.3">
      <c r="B6" s="26" t="s">
        <v>35</v>
      </c>
      <c r="C6" s="27"/>
      <c r="D6" s="27"/>
      <c r="E6" s="27"/>
      <c r="F6" s="3"/>
      <c r="G6" s="3"/>
      <c r="H6" s="3"/>
      <c r="I6" s="3"/>
    </row>
    <row r="8" spans="1:9" x14ac:dyDescent="0.3">
      <c r="B8" s="4" t="s">
        <v>0</v>
      </c>
      <c r="C8" s="30" t="s">
        <v>1</v>
      </c>
      <c r="D8" s="30"/>
      <c r="E8" s="30" t="s">
        <v>2</v>
      </c>
      <c r="F8" s="31"/>
      <c r="G8" s="29"/>
      <c r="H8" s="29"/>
    </row>
    <row r="9" spans="1:9" x14ac:dyDescent="0.3">
      <c r="B9" s="5">
        <v>1</v>
      </c>
      <c r="C9" s="28">
        <v>13.22</v>
      </c>
      <c r="D9" s="28"/>
      <c r="E9" s="28">
        <v>13.08</v>
      </c>
      <c r="F9" s="32"/>
      <c r="G9" s="33"/>
      <c r="H9" s="33"/>
    </row>
    <row r="10" spans="1:9" x14ac:dyDescent="0.3">
      <c r="B10" s="5">
        <v>2</v>
      </c>
      <c r="C10" s="28">
        <v>13.18</v>
      </c>
      <c r="D10" s="28"/>
      <c r="E10" s="28">
        <v>13.12</v>
      </c>
      <c r="F10" s="32"/>
      <c r="G10" s="33"/>
      <c r="H10" s="33"/>
    </row>
    <row r="11" spans="1:9" x14ac:dyDescent="0.3">
      <c r="B11" s="5">
        <v>3</v>
      </c>
      <c r="C11" s="28">
        <v>13.26</v>
      </c>
      <c r="D11" s="28"/>
      <c r="E11" s="28">
        <v>13.28</v>
      </c>
      <c r="F11" s="32"/>
      <c r="G11" s="33"/>
      <c r="H11" s="33"/>
    </row>
    <row r="12" spans="1:9" x14ac:dyDescent="0.3">
      <c r="B12" s="5">
        <v>4</v>
      </c>
      <c r="C12" s="28">
        <v>13.14</v>
      </c>
      <c r="D12" s="28"/>
      <c r="E12" s="28">
        <v>13.3</v>
      </c>
      <c r="F12" s="32"/>
      <c r="G12" s="33"/>
      <c r="H12" s="33"/>
    </row>
    <row r="13" spans="1:9" x14ac:dyDescent="0.3">
      <c r="B13" s="5">
        <v>5</v>
      </c>
      <c r="C13" s="28">
        <v>13.1</v>
      </c>
      <c r="D13" s="28"/>
      <c r="E13" s="28">
        <v>13.2</v>
      </c>
      <c r="F13" s="32"/>
      <c r="G13" s="33"/>
      <c r="H13" s="33"/>
    </row>
    <row r="14" spans="1:9" x14ac:dyDescent="0.3">
      <c r="B14" s="5">
        <v>6</v>
      </c>
      <c r="C14" s="28">
        <v>13.3</v>
      </c>
      <c r="D14" s="28"/>
      <c r="E14" s="28">
        <v>13.16</v>
      </c>
      <c r="F14" s="32"/>
      <c r="G14" s="33"/>
      <c r="H14" s="33"/>
    </row>
    <row r="15" spans="1:9" x14ac:dyDescent="0.3">
      <c r="B15" s="5">
        <v>7</v>
      </c>
      <c r="C15" s="28"/>
      <c r="D15" s="28"/>
      <c r="E15" s="28"/>
      <c r="F15" s="32"/>
      <c r="G15" s="33"/>
      <c r="H15" s="33"/>
    </row>
    <row r="16" spans="1:9" x14ac:dyDescent="0.3">
      <c r="B16" s="5">
        <v>8</v>
      </c>
      <c r="C16" s="28"/>
      <c r="D16" s="28"/>
      <c r="E16" s="28"/>
      <c r="F16" s="32"/>
      <c r="G16" s="33"/>
      <c r="H16" s="33"/>
    </row>
    <row r="17" spans="1:12" x14ac:dyDescent="0.3">
      <c r="B17" s="5">
        <v>9</v>
      </c>
      <c r="C17" s="28"/>
      <c r="D17" s="28"/>
      <c r="E17" s="28"/>
      <c r="F17" s="32"/>
      <c r="G17" s="33"/>
      <c r="H17" s="33"/>
      <c r="L17" s="1"/>
    </row>
    <row r="18" spans="1:12" x14ac:dyDescent="0.3">
      <c r="B18" s="5">
        <v>10</v>
      </c>
      <c r="C18" s="28"/>
      <c r="D18" s="28"/>
      <c r="E18" s="28"/>
      <c r="F18" s="32"/>
      <c r="G18" s="33"/>
      <c r="H18" s="33"/>
    </row>
    <row r="19" spans="1:12" x14ac:dyDescent="0.3">
      <c r="B19" s="6" t="s">
        <v>3</v>
      </c>
      <c r="C19" s="28">
        <f>IFERROR(AVERAGE(C9:C18),0)</f>
        <v>13.199999999999998</v>
      </c>
      <c r="D19" s="28"/>
      <c r="E19" s="32">
        <f>IFERROR(AVERAGE(E9:F18), 0)</f>
        <v>13.19</v>
      </c>
      <c r="F19" s="34"/>
      <c r="G19" s="33"/>
      <c r="H19" s="33"/>
    </row>
    <row r="20" spans="1:12" x14ac:dyDescent="0.3">
      <c r="B20" s="7" t="s">
        <v>4</v>
      </c>
      <c r="C20" s="28">
        <f>IFERROR(STDEV(C9:C18),0)</f>
        <v>7.4833147735479041E-2</v>
      </c>
      <c r="D20" s="28"/>
      <c r="E20" s="32">
        <f>IFERROR(STDEV(E9:F18), 0)</f>
        <v>8.7407093533648769E-2</v>
      </c>
      <c r="F20" s="34"/>
      <c r="G20" s="33"/>
      <c r="H20" s="33"/>
    </row>
    <row r="21" spans="1:12" ht="27.6" x14ac:dyDescent="0.3">
      <c r="B21" s="8" t="s">
        <v>5</v>
      </c>
      <c r="C21" s="5">
        <f>MAX(C20:F20)</f>
        <v>8.7407093533648769E-2</v>
      </c>
      <c r="D21" s="9" t="s">
        <v>22</v>
      </c>
      <c r="E21" s="5">
        <f>MAX(C9:E18)</f>
        <v>13.3</v>
      </c>
    </row>
    <row r="22" spans="1:12" ht="27.6" x14ac:dyDescent="0.3">
      <c r="B22" s="10" t="s">
        <v>6</v>
      </c>
      <c r="C22" s="5">
        <f>IF(C21=C20, C19, IF(C21=E20, E19, IF(C21=E20, E19, "BLANK")))</f>
        <v>13.19</v>
      </c>
      <c r="D22" s="11" t="s">
        <v>23</v>
      </c>
      <c r="E22" s="5">
        <f>MIN(C9:E18)</f>
        <v>13.08</v>
      </c>
    </row>
    <row r="23" spans="1:12" ht="27.6" x14ac:dyDescent="0.3">
      <c r="B23" s="12" t="s">
        <v>21</v>
      </c>
      <c r="C23" s="5">
        <f>STDEV(C19:E19)</f>
        <v>7.0710678118640685E-3</v>
      </c>
      <c r="D23" s="13" t="s">
        <v>25</v>
      </c>
      <c r="E23" s="5">
        <f>AVERAGE(C19:F19)</f>
        <v>13.194999999999999</v>
      </c>
    </row>
    <row r="24" spans="1:12" ht="27.6" x14ac:dyDescent="0.3">
      <c r="A24" s="14" t="s">
        <v>13</v>
      </c>
      <c r="B24" s="14" t="s">
        <v>9</v>
      </c>
      <c r="C24" s="14" t="s">
        <v>10</v>
      </c>
      <c r="D24" s="14" t="s">
        <v>14</v>
      </c>
      <c r="E24" s="14" t="s">
        <v>15</v>
      </c>
      <c r="F24" s="14" t="s">
        <v>11</v>
      </c>
      <c r="G24" s="14" t="s">
        <v>16</v>
      </c>
      <c r="H24" s="14" t="s">
        <v>17</v>
      </c>
      <c r="I24" s="14" t="s">
        <v>18</v>
      </c>
    </row>
    <row r="25" spans="1:12" x14ac:dyDescent="0.3">
      <c r="A25" s="5">
        <v>1</v>
      </c>
      <c r="B25" s="5" t="s">
        <v>24</v>
      </c>
      <c r="C25" s="15">
        <f>C21</f>
        <v>8.7407093533648769E-2</v>
      </c>
      <c r="D25" s="5" t="s">
        <v>12</v>
      </c>
      <c r="E25" s="5">
        <v>1</v>
      </c>
      <c r="F25" s="15">
        <f>IF(E25=2, C25/1.96, IF(E25=3, C25/2.58, IF(E25=1, C25/1, C25/1.73)))</f>
        <v>8.7407093533648769E-2</v>
      </c>
      <c r="G25" s="5">
        <f>C22</f>
        <v>13.19</v>
      </c>
      <c r="H25" s="15">
        <f>F25/G25</f>
        <v>6.6267697902690501E-3</v>
      </c>
      <c r="I25" s="16">
        <f>H25*H25</f>
        <v>4.3914077853222512E-5</v>
      </c>
    </row>
    <row r="26" spans="1:12" x14ac:dyDescent="0.3">
      <c r="A26" s="5">
        <v>2</v>
      </c>
      <c r="B26" s="5" t="s">
        <v>21</v>
      </c>
      <c r="C26" s="15">
        <f>C23</f>
        <v>7.0710678118640685E-3</v>
      </c>
      <c r="D26" s="5" t="s">
        <v>12</v>
      </c>
      <c r="E26" s="5">
        <v>1</v>
      </c>
      <c r="F26" s="17">
        <f>IF(E26=2, C26/1.96, IF(E26=3, C26/2.58, IF(E26=1, C26/1, C26/1.73)))</f>
        <v>7.0710678118640685E-3</v>
      </c>
      <c r="G26" s="5">
        <f>E23</f>
        <v>13.194999999999999</v>
      </c>
      <c r="H26" s="15">
        <f>F26/G26</f>
        <v>5.3588994405942168E-4</v>
      </c>
      <c r="I26" s="16">
        <f>H26*H26</f>
        <v>2.8717803214401012E-7</v>
      </c>
    </row>
    <row r="27" spans="1:12" x14ac:dyDescent="0.3">
      <c r="A27" s="5">
        <v>3</v>
      </c>
      <c r="B27" s="5" t="s">
        <v>29</v>
      </c>
      <c r="C27" s="5">
        <v>6.0000000000000001E-3</v>
      </c>
      <c r="D27" s="5" t="s">
        <v>19</v>
      </c>
      <c r="E27" s="5">
        <v>2</v>
      </c>
      <c r="F27" s="18">
        <f t="shared" ref="F27:F29" si="0">IF(E27=2, C27/1.96, IF(E27=3, C27/2.58, IF(E27=1, C27/1, C27/1.73)))</f>
        <v>3.0612244897959186E-3</v>
      </c>
      <c r="G27" s="5">
        <v>1</v>
      </c>
      <c r="H27" s="15">
        <f t="shared" ref="H27" si="1">F27/G27</f>
        <v>3.0612244897959186E-3</v>
      </c>
      <c r="I27" s="16">
        <f t="shared" ref="I27:I30" si="2">H27*H27</f>
        <v>9.3710953769262823E-6</v>
      </c>
    </row>
    <row r="28" spans="1:12" x14ac:dyDescent="0.3">
      <c r="A28" s="5">
        <v>4</v>
      </c>
      <c r="B28" s="5" t="s">
        <v>30</v>
      </c>
      <c r="C28" s="5">
        <v>0.01</v>
      </c>
      <c r="D28" s="5" t="s">
        <v>19</v>
      </c>
      <c r="E28" s="5">
        <v>2</v>
      </c>
      <c r="F28" s="19">
        <f t="shared" si="0"/>
        <v>5.1020408163265311E-3</v>
      </c>
      <c r="G28" s="5">
        <v>100</v>
      </c>
      <c r="H28" s="15">
        <f>F28/G28*100</f>
        <v>5.1020408163265311E-3</v>
      </c>
      <c r="I28" s="16">
        <f t="shared" si="2"/>
        <v>2.6030820491461895E-5</v>
      </c>
    </row>
    <row r="29" spans="1:12" x14ac:dyDescent="0.3">
      <c r="A29" s="5">
        <v>5</v>
      </c>
      <c r="B29" s="5" t="s">
        <v>36</v>
      </c>
      <c r="C29" s="5">
        <v>0.48</v>
      </c>
      <c r="D29" s="5" t="s">
        <v>19</v>
      </c>
      <c r="E29" s="5">
        <v>2</v>
      </c>
      <c r="F29" s="18">
        <f t="shared" si="0"/>
        <v>0.24489795918367346</v>
      </c>
      <c r="G29" s="5">
        <v>400</v>
      </c>
      <c r="H29" s="15">
        <f>F29/G29*100</f>
        <v>6.1224489795918366E-2</v>
      </c>
      <c r="I29" s="16">
        <f t="shared" si="2"/>
        <v>3.7484381507705122E-3</v>
      </c>
    </row>
    <row r="30" spans="1:12" ht="27.6" x14ac:dyDescent="0.3">
      <c r="A30" s="5">
        <v>6</v>
      </c>
      <c r="B30" s="5" t="s">
        <v>31</v>
      </c>
      <c r="C30" s="5">
        <v>1E-4</v>
      </c>
      <c r="D30" s="5" t="s">
        <v>19</v>
      </c>
      <c r="E30" s="5">
        <v>2</v>
      </c>
      <c r="F30" s="17">
        <f>IF(E30=2, C30/1.96, IF(E30=3, C30/2.58, IF(E30=1, C30/1, C30/1.73)))</f>
        <v>5.1020408163265308E-5</v>
      </c>
      <c r="G30" s="5">
        <v>220</v>
      </c>
      <c r="H30" s="15">
        <f t="shared" ref="H30:H33" si="3">IFERROR(F30/G30*100,0)</f>
        <v>2.3191094619666051E-5</v>
      </c>
      <c r="I30" s="16">
        <f t="shared" si="2"/>
        <v>5.3782686965830369E-10</v>
      </c>
    </row>
    <row r="31" spans="1:12" x14ac:dyDescent="0.3">
      <c r="A31" s="5">
        <v>8</v>
      </c>
      <c r="B31" s="5" t="s">
        <v>32</v>
      </c>
      <c r="C31" s="5">
        <v>0.62</v>
      </c>
      <c r="D31" s="5" t="s">
        <v>19</v>
      </c>
      <c r="E31" s="5">
        <v>2</v>
      </c>
      <c r="F31" s="5">
        <f>IF(E31=2, C31/1.96, IF(E31=3, C31/2.58, IF(E31=1, C31/1, C31/1.73)))</f>
        <v>0.31632653061224492</v>
      </c>
      <c r="G31" s="5">
        <v>100</v>
      </c>
      <c r="H31" s="15">
        <f t="shared" si="3"/>
        <v>0.31632653061224492</v>
      </c>
      <c r="I31" s="16">
        <f t="shared" ref="I31:I33" si="4">H31*H31</f>
        <v>0.10006247396917951</v>
      </c>
    </row>
    <row r="32" spans="1:12" x14ac:dyDescent="0.3">
      <c r="A32" s="5">
        <v>9</v>
      </c>
      <c r="B32" s="5"/>
      <c r="C32" s="5"/>
      <c r="D32" s="5"/>
      <c r="E32" s="5"/>
      <c r="F32" s="5">
        <f>IF(E32=2, C32/1.96, IF(E32=3, C32/2.58, IF(E32=1, C32/1, C32/1.73)))</f>
        <v>0</v>
      </c>
      <c r="G32" s="5"/>
      <c r="H32" s="15">
        <f t="shared" si="3"/>
        <v>0</v>
      </c>
      <c r="I32" s="16">
        <f t="shared" si="4"/>
        <v>0</v>
      </c>
    </row>
    <row r="33" spans="1:9" x14ac:dyDescent="0.3">
      <c r="A33" s="5">
        <v>10</v>
      </c>
      <c r="B33" s="5"/>
      <c r="C33" s="5"/>
      <c r="D33" s="5"/>
      <c r="E33" s="5"/>
      <c r="F33" s="5">
        <f>IF(E33=2, C33/1.96, IF(E33=3, C33/2.58, IF(E33=1, C33/1, C33/1.73)))</f>
        <v>0</v>
      </c>
      <c r="G33" s="5"/>
      <c r="H33" s="15">
        <f t="shared" si="3"/>
        <v>0</v>
      </c>
      <c r="I33" s="16">
        <f t="shared" si="4"/>
        <v>0</v>
      </c>
    </row>
    <row r="35" spans="1:9" ht="33.450000000000003" customHeight="1" x14ac:dyDescent="0.3">
      <c r="B35" s="14" t="s">
        <v>18</v>
      </c>
      <c r="C35" s="5">
        <f>SQRT(SUM(I25:I32))</f>
        <v>0.32232051723328231</v>
      </c>
      <c r="D35" s="20" t="s">
        <v>8</v>
      </c>
      <c r="E35" s="21">
        <v>0.68</v>
      </c>
    </row>
    <row r="36" spans="1:9" ht="21" customHeight="1" x14ac:dyDescent="0.3">
      <c r="B36" s="13" t="s">
        <v>7</v>
      </c>
      <c r="C36" s="5">
        <v>2</v>
      </c>
      <c r="D36" s="20" t="s">
        <v>20</v>
      </c>
      <c r="E36" s="20" t="str">
        <f>IF(C36=2, "CL 95%", IF(C36=3, "CL 99%", IF(C36=1, "CL 67%", "Please Give K")))</f>
        <v>CL 95%</v>
      </c>
    </row>
    <row r="37" spans="1:9" ht="30.45" customHeight="1" x14ac:dyDescent="0.3">
      <c r="B37" s="22" t="s">
        <v>27</v>
      </c>
      <c r="C37" s="19">
        <f>C35*C36</f>
        <v>0.64464103446656462</v>
      </c>
      <c r="D37" s="20" t="s">
        <v>8</v>
      </c>
      <c r="E37" s="20" t="str">
        <f>E36</f>
        <v>CL 95%</v>
      </c>
    </row>
    <row r="38" spans="1:9" ht="27.6" x14ac:dyDescent="0.3">
      <c r="B38" s="23" t="s">
        <v>26</v>
      </c>
      <c r="C38" s="24">
        <f>(C37*C22)/100</f>
        <v>8.5028152446139871E-2</v>
      </c>
    </row>
    <row r="41" spans="1:9" x14ac:dyDescent="0.3">
      <c r="B41" s="25"/>
      <c r="C41" s="25"/>
      <c r="D41" s="2"/>
      <c r="E41" s="2"/>
    </row>
    <row r="42" spans="1:9" x14ac:dyDescent="0.3">
      <c r="B42" s="25"/>
      <c r="C42" s="25"/>
      <c r="D42" s="2"/>
      <c r="E42" s="2"/>
    </row>
    <row r="43" spans="1:9" x14ac:dyDescent="0.3">
      <c r="B43" s="25"/>
      <c r="C43" s="25"/>
      <c r="D43" s="2"/>
      <c r="E43" s="2"/>
    </row>
  </sheetData>
  <mergeCells count="45">
    <mergeCell ref="C16:D16"/>
    <mergeCell ref="C17:D17"/>
    <mergeCell ref="C18:D18"/>
    <mergeCell ref="G19:H19"/>
    <mergeCell ref="G20:H20"/>
    <mergeCell ref="E19:F19"/>
    <mergeCell ref="E20:F20"/>
    <mergeCell ref="C19:D19"/>
    <mergeCell ref="C20:D20"/>
    <mergeCell ref="E16:F16"/>
    <mergeCell ref="E17:F17"/>
    <mergeCell ref="E18:F18"/>
    <mergeCell ref="G16:H16"/>
    <mergeCell ref="G17:H17"/>
    <mergeCell ref="G18:H18"/>
    <mergeCell ref="C13:D13"/>
    <mergeCell ref="E13:F13"/>
    <mergeCell ref="G13:H13"/>
    <mergeCell ref="C14:D14"/>
    <mergeCell ref="C12:D12"/>
    <mergeCell ref="E12:F12"/>
    <mergeCell ref="G12:H12"/>
    <mergeCell ref="C15:D15"/>
    <mergeCell ref="E14:F14"/>
    <mergeCell ref="E15:F15"/>
    <mergeCell ref="G14:H14"/>
    <mergeCell ref="G15:H15"/>
    <mergeCell ref="C11:D11"/>
    <mergeCell ref="G8:H8"/>
    <mergeCell ref="E8:F8"/>
    <mergeCell ref="E9:F9"/>
    <mergeCell ref="E10:F10"/>
    <mergeCell ref="E11:F11"/>
    <mergeCell ref="G11:H11"/>
    <mergeCell ref="G10:H10"/>
    <mergeCell ref="G9:H9"/>
    <mergeCell ref="C8:D8"/>
    <mergeCell ref="A1:B3"/>
    <mergeCell ref="C1:F3"/>
    <mergeCell ref="G1:I3"/>
    <mergeCell ref="B4:E4"/>
    <mergeCell ref="B5:E5"/>
    <mergeCell ref="B6:E6"/>
    <mergeCell ref="C9:D9"/>
    <mergeCell ref="C10:D1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Hide!$D$3:$D$5</xm:f>
          </x14:formula1>
          <xm:sqref>C36</xm:sqref>
        </x14:dataValidation>
        <x14:dataValidation type="list" allowBlank="1" showInputMessage="1" showErrorMessage="1" xr:uid="{00000000-0002-0000-0100-000001000000}">
          <x14:formula1>
            <xm:f>Hide!$B$3:$B$4</xm:f>
          </x14:formula1>
          <xm:sqref>D25:D29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2025-11-15T05:47:13Z</dcterms:modified>
</cp:coreProperties>
</file>