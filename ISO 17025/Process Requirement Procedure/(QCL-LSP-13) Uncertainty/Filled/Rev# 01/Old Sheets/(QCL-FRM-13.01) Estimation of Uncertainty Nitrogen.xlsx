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 defaultThemeVersion="124226"/>
  <xr:revisionPtr revIDLastSave="0" documentId="13_ncr:1_{4A0C35E5-52FE-4008-9E66-773B7627AC2B}" xr6:coauthVersionLast="36" xr6:coauthVersionMax="47" xr10:uidLastSave="{00000000-0000-0000-0000-000000000000}"/>
  <bookViews>
    <workbookView xWindow="-110" yWindow="-110" windowWidth="23260" windowHeight="12580" firstSheet="1" activeTab="1" xr2:uid="{00000000-000D-0000-FFFF-FFFF00000000}"/>
  </bookViews>
  <sheets>
    <sheet name="Hide" sheetId="5" state="hidden" r:id="rId1"/>
    <sheet name="Uncertainty Budget" sheetId="1" r:id="rId2"/>
  </sheets>
  <definedNames>
    <definedName name="A">'Uncertainty Budget'!$B$50:$B$52</definedName>
    <definedName name="B">'Uncertainty Budget'!$C$50:$C$51</definedName>
  </definedNames>
  <calcPr calcId="179021"/>
</workbook>
</file>

<file path=xl/calcChain.xml><?xml version="1.0" encoding="utf-8"?>
<calcChain xmlns="http://schemas.openxmlformats.org/spreadsheetml/2006/main">
  <c r="I42" i="1" l="1"/>
  <c r="H42" i="1"/>
  <c r="F42" i="1"/>
  <c r="F39" i="1" l="1"/>
  <c r="H39" i="1" s="1"/>
  <c r="F38" i="1"/>
  <c r="H38" i="1" s="1"/>
  <c r="F37" i="1"/>
  <c r="H37" i="1" s="1"/>
  <c r="F36" i="1"/>
  <c r="H36" i="1" s="1"/>
  <c r="I36" i="1" s="1"/>
  <c r="E26" i="1" l="1"/>
  <c r="E25" i="1"/>
  <c r="E29" i="1" l="1"/>
  <c r="E28" i="1"/>
  <c r="E45" i="1" l="1"/>
  <c r="E46" i="1" s="1"/>
  <c r="I37" i="1"/>
  <c r="I38" i="1"/>
  <c r="I39" i="1"/>
  <c r="F40" i="1"/>
  <c r="H40" i="1" s="1"/>
  <c r="F41" i="1"/>
  <c r="H41" i="1" s="1"/>
  <c r="I41" i="1" l="1"/>
  <c r="I40" i="1"/>
  <c r="C26" i="1"/>
  <c r="C28" i="1" s="1"/>
  <c r="C25" i="1"/>
  <c r="C29" i="1" l="1"/>
  <c r="G34" i="1" s="1"/>
  <c r="C30" i="1"/>
  <c r="C35" i="1" s="1"/>
  <c r="F35" i="1" s="1"/>
  <c r="E30" i="1"/>
  <c r="G35" i="1" s="1"/>
  <c r="H35" i="1" l="1"/>
  <c r="I35" i="1" s="1"/>
  <c r="C34" i="1"/>
  <c r="F34" i="1" s="1"/>
  <c r="H34" i="1" s="1"/>
  <c r="I34" i="1" s="1"/>
  <c r="C44" i="1" l="1"/>
  <c r="C46" i="1" s="1"/>
  <c r="C47" i="1" s="1"/>
</calcChain>
</file>

<file path=xl/sharedStrings.xml><?xml version="1.0" encoding="utf-8"?>
<sst xmlns="http://schemas.openxmlformats.org/spreadsheetml/2006/main" count="54" uniqueCount="41">
  <si>
    <t>S/N</t>
  </si>
  <si>
    <t>Analyst 1</t>
  </si>
  <si>
    <t>Analyst 2</t>
  </si>
  <si>
    <t>Average</t>
  </si>
  <si>
    <t>SU</t>
  </si>
  <si>
    <t>Max SU:</t>
  </si>
  <si>
    <t>X Estimate:</t>
  </si>
  <si>
    <t>CL (K)</t>
  </si>
  <si>
    <t>@</t>
  </si>
  <si>
    <t>Sources of Uncertainty</t>
  </si>
  <si>
    <t>Uncertainty</t>
  </si>
  <si>
    <t>Uncertainty Contribution</t>
  </si>
  <si>
    <t>A</t>
  </si>
  <si>
    <t xml:space="preserve">B </t>
  </si>
  <si>
    <t>SN</t>
  </si>
  <si>
    <t>Type A / B</t>
  </si>
  <si>
    <t>K Factor</t>
  </si>
  <si>
    <t>Average / Value</t>
  </si>
  <si>
    <t>Relative Uncertainty</t>
  </si>
  <si>
    <t>Combined Uncertainty</t>
  </si>
  <si>
    <t>B</t>
  </si>
  <si>
    <t>=</t>
  </si>
  <si>
    <t>Reproducibility</t>
  </si>
  <si>
    <t>MAX Value</t>
  </si>
  <si>
    <t>Min Value</t>
  </si>
  <si>
    <t>Repeatability</t>
  </si>
  <si>
    <t>Grand Mean</t>
  </si>
  <si>
    <t>Value in Units (+/-)</t>
  </si>
  <si>
    <t>Expanded Uncertainty (%)</t>
  </si>
  <si>
    <t>Measurement of Uncertainty</t>
  </si>
  <si>
    <t>Pipette (1mL)</t>
  </si>
  <si>
    <t>Digestion Block</t>
  </si>
  <si>
    <t>Flask (100mL)</t>
  </si>
  <si>
    <t>Method Reference SFRI Guide-2021(p8-11)</t>
  </si>
  <si>
    <t>Test Title: Nitrogen</t>
  </si>
  <si>
    <t>Date of Performance 11-06-2024</t>
  </si>
  <si>
    <t>Analytical Balance</t>
  </si>
  <si>
    <t>Hygrometer</t>
  </si>
  <si>
    <t>Flask (1000mL)</t>
  </si>
  <si>
    <t>Pipette (10mL)</t>
  </si>
  <si>
    <t>Doc Code: QCL-FRM-13.01
Issue Date: 01-10-2024
Revision#: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</si>
</sst>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"/>
    <numFmt numFmtId="165" formatCode="0.000000"/>
    <numFmt numFmtId="166" formatCode="0.000000000"/>
    <numFmt numFmtId="167" formatCode="0.00000000"/>
    <numFmt numFmtId="168" formatCode="0.000"/>
    <numFmt numFmtId="169" formatCode="0.000000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69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1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12</v>
      </c>
      <c r="D3">
        <v>1</v>
      </c>
    </row>
    <row r="4" spans="2:4" x14ac:dyDescent="0.35">
      <c r="B4" t="s">
        <v>20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tabSelected="1" view="pageLayout" zoomScaleNormal="90" workbookViewId="0">
      <selection activeCell="B1" sqref="B1:C3"/>
    </sheetView>
  </sheetViews>
  <sheetFormatPr defaultColWidth="9.1796875" defaultRowHeight="14" x14ac:dyDescent="0.35"/>
  <cols>
    <col min="1" max="1" width="3" style="1" bestFit="1" customWidth="1"/>
    <col min="2" max="2" width="17.81640625" style="1" customWidth="1"/>
    <col min="3" max="3" width="11.54296875" style="1" bestFit="1" customWidth="1"/>
    <col min="4" max="4" width="11.36328125" style="1" bestFit="1" customWidth="1"/>
    <col min="5" max="5" width="11.81640625" style="1" bestFit="1" customWidth="1"/>
    <col min="6" max="6" width="12.54296875" style="1" bestFit="1" customWidth="1"/>
    <col min="7" max="7" width="14.08984375" style="1" bestFit="1" customWidth="1"/>
    <col min="8" max="8" width="17.90625" style="1" bestFit="1" customWidth="1"/>
    <col min="9" max="9" width="19.81640625" style="1" bestFit="1" customWidth="1"/>
    <col min="10" max="16384" width="9.1796875" style="3"/>
  </cols>
  <sheetData>
    <row r="1" spans="2:9" ht="14.5" customHeight="1" x14ac:dyDescent="0.35">
      <c r="B1" s="32" t="s">
        <v>40</v>
      </c>
      <c r="C1" s="32"/>
      <c r="D1" s="38" t="s">
        <v>29</v>
      </c>
      <c r="E1" s="38"/>
      <c r="F1" s="38"/>
      <c r="G1" s="38"/>
      <c r="H1" s="38"/>
      <c r="I1" s="2"/>
    </row>
    <row r="2" spans="2:9" ht="14.5" customHeight="1" x14ac:dyDescent="0.35">
      <c r="B2" s="32"/>
      <c r="C2" s="32"/>
      <c r="D2" s="38"/>
      <c r="E2" s="38"/>
      <c r="F2" s="38"/>
      <c r="G2" s="38"/>
      <c r="H2" s="38"/>
      <c r="I2" s="2"/>
    </row>
    <row r="3" spans="2:9" ht="14.5" customHeight="1" x14ac:dyDescent="0.35">
      <c r="B3" s="32"/>
      <c r="C3" s="32"/>
      <c r="D3" s="38"/>
      <c r="E3" s="38"/>
      <c r="F3" s="38"/>
      <c r="G3" s="38"/>
      <c r="H3" s="38"/>
      <c r="I3" s="2"/>
    </row>
    <row r="4" spans="2:9" ht="15.75" customHeight="1" x14ac:dyDescent="0.35">
      <c r="C4" s="4"/>
    </row>
    <row r="5" spans="2:9" x14ac:dyDescent="0.35">
      <c r="B5" s="33" t="s">
        <v>34</v>
      </c>
      <c r="C5" s="34"/>
      <c r="D5" s="36"/>
      <c r="E5" s="36"/>
      <c r="F5" s="36"/>
      <c r="G5" s="36"/>
      <c r="H5" s="36"/>
      <c r="I5" s="5"/>
    </row>
    <row r="6" spans="2:9" ht="29" customHeight="1" x14ac:dyDescent="0.35">
      <c r="B6" s="33" t="s">
        <v>35</v>
      </c>
      <c r="C6" s="35"/>
      <c r="D6" s="37"/>
      <c r="E6" s="36"/>
      <c r="F6" s="36"/>
      <c r="G6" s="36"/>
      <c r="H6" s="36"/>
      <c r="I6" s="5"/>
    </row>
    <row r="7" spans="2:9" ht="14.5" customHeight="1" x14ac:dyDescent="0.35">
      <c r="B7" s="29" t="s">
        <v>33</v>
      </c>
      <c r="C7" s="30"/>
      <c r="D7" s="30"/>
      <c r="E7" s="30"/>
      <c r="F7" s="5"/>
      <c r="G7" s="5"/>
      <c r="H7" s="5"/>
      <c r="I7" s="5"/>
    </row>
    <row r="9" spans="2:9" x14ac:dyDescent="0.35">
      <c r="B9" s="6" t="s">
        <v>0</v>
      </c>
      <c r="C9" s="40" t="s">
        <v>1</v>
      </c>
      <c r="D9" s="40"/>
      <c r="E9" s="40" t="s">
        <v>2</v>
      </c>
      <c r="F9" s="41"/>
      <c r="G9" s="39"/>
      <c r="H9" s="39"/>
    </row>
    <row r="10" spans="2:9" x14ac:dyDescent="0.35">
      <c r="B10" s="7">
        <v>1</v>
      </c>
      <c r="C10" s="31">
        <v>8.32</v>
      </c>
      <c r="D10" s="31"/>
      <c r="E10" s="31">
        <v>8.43</v>
      </c>
      <c r="F10" s="42"/>
      <c r="G10" s="43"/>
      <c r="H10" s="43"/>
    </row>
    <row r="11" spans="2:9" x14ac:dyDescent="0.35">
      <c r="B11" s="7">
        <v>2</v>
      </c>
      <c r="C11" s="31">
        <v>8.4600000000000009</v>
      </c>
      <c r="D11" s="31"/>
      <c r="E11" s="31">
        <v>8.2899999999999991</v>
      </c>
      <c r="F11" s="42"/>
      <c r="G11" s="43"/>
      <c r="H11" s="43"/>
    </row>
    <row r="12" spans="2:9" x14ac:dyDescent="0.35">
      <c r="B12" s="7">
        <v>3</v>
      </c>
      <c r="C12" s="31">
        <v>8.23</v>
      </c>
      <c r="D12" s="31"/>
      <c r="E12" s="31">
        <v>8.3699999999999992</v>
      </c>
      <c r="F12" s="42"/>
      <c r="G12" s="43"/>
      <c r="H12" s="43"/>
    </row>
    <row r="13" spans="2:9" x14ac:dyDescent="0.35">
      <c r="B13" s="7">
        <v>4</v>
      </c>
      <c r="C13" s="31">
        <v>8.34</v>
      </c>
      <c r="D13" s="31"/>
      <c r="E13" s="31">
        <v>8.51</v>
      </c>
      <c r="F13" s="42"/>
      <c r="G13" s="43"/>
      <c r="H13" s="43"/>
    </row>
    <row r="14" spans="2:9" x14ac:dyDescent="0.35">
      <c r="B14" s="7">
        <v>5</v>
      </c>
      <c r="C14" s="31">
        <v>8.51</v>
      </c>
      <c r="D14" s="31"/>
      <c r="E14" s="31">
        <v>8.23</v>
      </c>
      <c r="F14" s="42"/>
      <c r="G14" s="43"/>
      <c r="H14" s="43"/>
    </row>
    <row r="15" spans="2:9" x14ac:dyDescent="0.35">
      <c r="B15" s="7">
        <v>6</v>
      </c>
      <c r="C15" s="31">
        <v>8.4</v>
      </c>
      <c r="D15" s="31"/>
      <c r="E15" s="31">
        <v>8.4600000000000009</v>
      </c>
      <c r="F15" s="42"/>
      <c r="G15" s="43"/>
      <c r="H15" s="43"/>
    </row>
    <row r="16" spans="2:9" x14ac:dyDescent="0.35">
      <c r="B16" s="7">
        <v>7</v>
      </c>
      <c r="C16" s="31"/>
      <c r="D16" s="31"/>
      <c r="E16" s="31"/>
      <c r="F16" s="42"/>
      <c r="G16" s="43"/>
      <c r="H16" s="43"/>
    </row>
    <row r="17" spans="2:12" x14ac:dyDescent="0.35">
      <c r="B17" s="7">
        <v>8</v>
      </c>
      <c r="C17" s="31"/>
      <c r="D17" s="31"/>
      <c r="E17" s="31"/>
      <c r="F17" s="42"/>
      <c r="G17" s="43"/>
      <c r="H17" s="43"/>
    </row>
    <row r="18" spans="2:12" x14ac:dyDescent="0.35">
      <c r="B18" s="7">
        <v>9</v>
      </c>
      <c r="C18" s="31"/>
      <c r="D18" s="31"/>
      <c r="E18" s="31"/>
      <c r="F18" s="42"/>
      <c r="G18" s="43"/>
      <c r="H18" s="43"/>
      <c r="L18" s="1"/>
    </row>
    <row r="19" spans="2:12" x14ac:dyDescent="0.35">
      <c r="B19" s="7">
        <v>10</v>
      </c>
      <c r="C19" s="31"/>
      <c r="D19" s="31"/>
      <c r="E19" s="31"/>
      <c r="F19" s="42"/>
      <c r="G19" s="43"/>
      <c r="H19" s="43"/>
    </row>
    <row r="20" spans="2:12" x14ac:dyDescent="0.35">
      <c r="B20" s="7">
        <v>11</v>
      </c>
      <c r="C20" s="31"/>
      <c r="D20" s="31"/>
      <c r="E20" s="31"/>
      <c r="F20" s="42"/>
      <c r="G20" s="43"/>
      <c r="H20" s="43"/>
    </row>
    <row r="21" spans="2:12" x14ac:dyDescent="0.35">
      <c r="B21" s="7">
        <v>12</v>
      </c>
      <c r="C21" s="31"/>
      <c r="D21" s="31"/>
      <c r="E21" s="31"/>
      <c r="F21" s="42"/>
      <c r="G21" s="43"/>
      <c r="H21" s="43"/>
    </row>
    <row r="22" spans="2:12" x14ac:dyDescent="0.35">
      <c r="B22" s="7">
        <v>13</v>
      </c>
      <c r="C22" s="31"/>
      <c r="D22" s="31"/>
      <c r="E22" s="31"/>
      <c r="F22" s="42"/>
      <c r="G22" s="43"/>
      <c r="H22" s="43"/>
    </row>
    <row r="23" spans="2:12" x14ac:dyDescent="0.35">
      <c r="B23" s="7">
        <v>14</v>
      </c>
      <c r="C23" s="31"/>
      <c r="D23" s="31"/>
      <c r="E23" s="31"/>
      <c r="F23" s="42"/>
      <c r="G23" s="43"/>
      <c r="H23" s="43"/>
    </row>
    <row r="24" spans="2:12" x14ac:dyDescent="0.35">
      <c r="B24" s="7">
        <v>15</v>
      </c>
      <c r="C24" s="31"/>
      <c r="D24" s="31"/>
      <c r="E24" s="31"/>
      <c r="F24" s="42"/>
      <c r="G24" s="43"/>
      <c r="H24" s="43"/>
    </row>
    <row r="25" spans="2:12" x14ac:dyDescent="0.35">
      <c r="B25" s="8" t="s">
        <v>3</v>
      </c>
      <c r="C25" s="31">
        <f>IFERROR(AVERAGE(C10:C24),0)</f>
        <v>8.3766666666666669</v>
      </c>
      <c r="D25" s="31"/>
      <c r="E25" s="42">
        <f>IFERROR(AVERAGE(E10:F24), 0)</f>
        <v>8.3816666666666659</v>
      </c>
      <c r="F25" s="44"/>
      <c r="G25" s="43"/>
      <c r="H25" s="43"/>
    </row>
    <row r="26" spans="2:12" x14ac:dyDescent="0.35">
      <c r="B26" s="9" t="s">
        <v>4</v>
      </c>
      <c r="C26" s="31">
        <f>IFERROR(STDEV(C10:C24),0)</f>
        <v>0.10132456102380438</v>
      </c>
      <c r="D26" s="31"/>
      <c r="E26" s="42">
        <f>IFERROR(STDEV(E10:F24), 0)</f>
        <v>0.10628577828979137</v>
      </c>
      <c r="F26" s="44"/>
      <c r="G26" s="43"/>
      <c r="H26" s="43"/>
    </row>
    <row r="28" spans="2:12" ht="17.5" customHeight="1" x14ac:dyDescent="0.35">
      <c r="B28" s="10" t="s">
        <v>5</v>
      </c>
      <c r="C28" s="7">
        <f>MAX(C26:F26)</f>
        <v>0.10628577828979137</v>
      </c>
      <c r="D28" s="11" t="s">
        <v>23</v>
      </c>
      <c r="E28" s="7">
        <f>MAX(C10:E24)</f>
        <v>8.51</v>
      </c>
    </row>
    <row r="29" spans="2:12" ht="17" customHeight="1" x14ac:dyDescent="0.35">
      <c r="B29" s="12" t="s">
        <v>6</v>
      </c>
      <c r="C29" s="7">
        <f>IF(C28=C26, C25, IF(C28=E26, E25, IF(C28=E26, E25, "BLANK")))</f>
        <v>8.3816666666666659</v>
      </c>
      <c r="D29" s="13" t="s">
        <v>24</v>
      </c>
      <c r="E29" s="7">
        <f>MIN(C10:E24)</f>
        <v>8.23</v>
      </c>
    </row>
    <row r="30" spans="2:12" ht="20" customHeight="1" x14ac:dyDescent="0.35">
      <c r="B30" s="14" t="s">
        <v>22</v>
      </c>
      <c r="C30" s="7">
        <f>STDEV(C25:E25)</f>
        <v>3.5355339059320342E-3</v>
      </c>
      <c r="D30" s="15" t="s">
        <v>26</v>
      </c>
      <c r="E30" s="7">
        <f>AVERAGE(C25:F25)</f>
        <v>8.3791666666666664</v>
      </c>
    </row>
    <row r="31" spans="2:12" ht="20" customHeight="1" x14ac:dyDescent="0.35">
      <c r="B31" s="45"/>
      <c r="C31" s="46"/>
      <c r="D31" s="47"/>
      <c r="E31" s="46"/>
    </row>
    <row r="33" spans="1:9" ht="28" x14ac:dyDescent="0.35">
      <c r="A33" s="16" t="s">
        <v>14</v>
      </c>
      <c r="B33" s="16" t="s">
        <v>9</v>
      </c>
      <c r="C33" s="16" t="s">
        <v>10</v>
      </c>
      <c r="D33" s="16" t="s">
        <v>15</v>
      </c>
      <c r="E33" s="16" t="s">
        <v>16</v>
      </c>
      <c r="F33" s="16" t="s">
        <v>11</v>
      </c>
      <c r="G33" s="16" t="s">
        <v>17</v>
      </c>
      <c r="H33" s="16" t="s">
        <v>18</v>
      </c>
      <c r="I33" s="16" t="s">
        <v>19</v>
      </c>
    </row>
    <row r="34" spans="1:9" x14ac:dyDescent="0.35">
      <c r="A34" s="7">
        <v>1</v>
      </c>
      <c r="B34" s="7" t="s">
        <v>25</v>
      </c>
      <c r="C34" s="17">
        <f>C28</f>
        <v>0.10628577828979137</v>
      </c>
      <c r="D34" s="7" t="s">
        <v>12</v>
      </c>
      <c r="E34" s="7">
        <v>1</v>
      </c>
      <c r="F34" s="17">
        <f>IF(E34=2, C34/1.96, IF(E34=3, C34/2.58, IF(E34=1, C34/1, C34/1.73)))</f>
        <v>0.10628577828979137</v>
      </c>
      <c r="G34" s="7">
        <f>C29</f>
        <v>8.3816666666666659</v>
      </c>
      <c r="H34" s="18">
        <f>F34/G34</f>
        <v>1.2680745073349538E-2</v>
      </c>
      <c r="I34" s="19">
        <f>H34*H34</f>
        <v>1.6080129561527859E-4</v>
      </c>
    </row>
    <row r="35" spans="1:9" x14ac:dyDescent="0.35">
      <c r="A35" s="7">
        <v>2</v>
      </c>
      <c r="B35" s="7" t="s">
        <v>22</v>
      </c>
      <c r="C35" s="17">
        <f>C30</f>
        <v>3.5355339059320342E-3</v>
      </c>
      <c r="D35" s="7" t="s">
        <v>12</v>
      </c>
      <c r="E35" s="7">
        <v>1</v>
      </c>
      <c r="F35" s="20">
        <f>IF(E35=2, C35/1.96, IF(E35=3, C35/2.58, IF(E35=1, C35/1, C35/1.73)))</f>
        <v>3.5355339059320342E-3</v>
      </c>
      <c r="G35" s="7">
        <f>E30</f>
        <v>8.3791666666666664</v>
      </c>
      <c r="H35" s="18">
        <f>F35/G35</f>
        <v>4.2194338012117763E-4</v>
      </c>
      <c r="I35" s="19">
        <f>H35*H35</f>
        <v>1.780362160280846E-7</v>
      </c>
    </row>
    <row r="36" spans="1:9" x14ac:dyDescent="0.35">
      <c r="A36" s="7">
        <v>3</v>
      </c>
      <c r="B36" s="7" t="s">
        <v>30</v>
      </c>
      <c r="C36" s="7">
        <v>6.0000000000000001E-3</v>
      </c>
      <c r="D36" s="7" t="s">
        <v>20</v>
      </c>
      <c r="E36" s="7">
        <v>2</v>
      </c>
      <c r="F36" s="21">
        <f t="shared" ref="F36:F38" si="0">IF(E36=2, C36/1.96, IF(E36=3, C36/2.58, IF(E36=1, C36/1, C36/1.73)))</f>
        <v>3.0612244897959186E-3</v>
      </c>
      <c r="G36" s="7">
        <v>1</v>
      </c>
      <c r="H36" s="21">
        <f t="shared" ref="H36" si="1">F36/G36</f>
        <v>3.0612244897959186E-3</v>
      </c>
      <c r="I36" s="19">
        <f t="shared" ref="I36:I39" si="2">H36*H36</f>
        <v>9.3710953769262823E-6</v>
      </c>
    </row>
    <row r="37" spans="1:9" x14ac:dyDescent="0.35">
      <c r="A37" s="7">
        <v>4</v>
      </c>
      <c r="B37" s="7" t="s">
        <v>32</v>
      </c>
      <c r="C37" s="7">
        <v>0.01</v>
      </c>
      <c r="D37" s="7" t="s">
        <v>20</v>
      </c>
      <c r="E37" s="7">
        <v>2</v>
      </c>
      <c r="F37" s="22">
        <f t="shared" si="0"/>
        <v>5.1020408163265311E-3</v>
      </c>
      <c r="G37" s="7">
        <v>100</v>
      </c>
      <c r="H37" s="22">
        <f>F37/G37*100</f>
        <v>5.1020408163265311E-3</v>
      </c>
      <c r="I37" s="19">
        <f t="shared" si="2"/>
        <v>2.6030820491461895E-5</v>
      </c>
    </row>
    <row r="38" spans="1:9" x14ac:dyDescent="0.35">
      <c r="A38" s="7">
        <v>5</v>
      </c>
      <c r="B38" s="7" t="s">
        <v>31</v>
      </c>
      <c r="C38" s="7">
        <v>0.84</v>
      </c>
      <c r="D38" s="7" t="s">
        <v>20</v>
      </c>
      <c r="E38" s="7">
        <v>2</v>
      </c>
      <c r="F38" s="21">
        <f t="shared" si="0"/>
        <v>0.42857142857142855</v>
      </c>
      <c r="G38" s="7">
        <v>400</v>
      </c>
      <c r="H38" s="22">
        <f>F38/G38*100</f>
        <v>0.10714285714285712</v>
      </c>
      <c r="I38" s="19">
        <f t="shared" si="2"/>
        <v>1.1479591836734689E-2</v>
      </c>
    </row>
    <row r="39" spans="1:9" x14ac:dyDescent="0.35">
      <c r="A39" s="7">
        <v>6</v>
      </c>
      <c r="B39" s="7" t="s">
        <v>36</v>
      </c>
      <c r="C39" s="7">
        <v>2.0000000000000001E-4</v>
      </c>
      <c r="D39" s="7" t="s">
        <v>20</v>
      </c>
      <c r="E39" s="7">
        <v>2</v>
      </c>
      <c r="F39" s="20">
        <f>IF(E39=2, C39/1.96, IF(E39=3, C39/2.58, IF(E39=1, C39/1, C39/1.73)))</f>
        <v>1.0204081632653062E-4</v>
      </c>
      <c r="G39" s="7">
        <v>220</v>
      </c>
      <c r="H39" s="18">
        <f t="shared" ref="H39:H42" si="3">IFERROR(F39/G39*100,0)</f>
        <v>4.6382189239332101E-5</v>
      </c>
      <c r="I39" s="19">
        <f t="shared" si="2"/>
        <v>2.1513074786332148E-9</v>
      </c>
    </row>
    <row r="40" spans="1:9" x14ac:dyDescent="0.35">
      <c r="A40" s="7">
        <v>8</v>
      </c>
      <c r="B40" s="7" t="s">
        <v>37</v>
      </c>
      <c r="C40" s="7">
        <v>0.62</v>
      </c>
      <c r="D40" s="7" t="s">
        <v>20</v>
      </c>
      <c r="E40" s="7">
        <v>2</v>
      </c>
      <c r="F40" s="7">
        <f>IF(E40=2, C40/1.96, IF(E40=3, C40/2.58, IF(E40=1, C40/1, C40/1.73)))</f>
        <v>0.31632653061224492</v>
      </c>
      <c r="G40" s="7">
        <v>100</v>
      </c>
      <c r="H40" s="19">
        <f t="shared" si="3"/>
        <v>0.31632653061224492</v>
      </c>
      <c r="I40" s="19">
        <f t="shared" ref="I40:I42" si="4">H40*H40</f>
        <v>0.10006247396917951</v>
      </c>
    </row>
    <row r="41" spans="1:9" x14ac:dyDescent="0.35">
      <c r="A41" s="7">
        <v>9</v>
      </c>
      <c r="B41" s="7" t="s">
        <v>38</v>
      </c>
      <c r="C41" s="7">
        <v>0.12</v>
      </c>
      <c r="D41" s="7" t="s">
        <v>20</v>
      </c>
      <c r="E41" s="7">
        <v>2</v>
      </c>
      <c r="F41" s="7">
        <f>IF(E41=2, C41/1.96, IF(E41=3, C41/2.58, IF(E41=1, C41/1, C41/1.73)))</f>
        <v>6.1224489795918366E-2</v>
      </c>
      <c r="G41" s="7">
        <v>1000</v>
      </c>
      <c r="H41" s="19">
        <f t="shared" si="3"/>
        <v>6.1224489795918364E-3</v>
      </c>
      <c r="I41" s="19">
        <f t="shared" si="4"/>
        <v>3.7484381507705116E-5</v>
      </c>
    </row>
    <row r="42" spans="1:9" x14ac:dyDescent="0.35">
      <c r="A42" s="1">
        <v>10</v>
      </c>
      <c r="B42" s="7" t="s">
        <v>39</v>
      </c>
      <c r="C42" s="7">
        <v>2E-3</v>
      </c>
      <c r="D42" s="7" t="s">
        <v>20</v>
      </c>
      <c r="E42" s="7">
        <v>2</v>
      </c>
      <c r="F42" s="7">
        <f>IF(E42=2, C42/1.96, IF(E42=3, C42/2.58, IF(E42=1, C42/1, C42/1.73)))</f>
        <v>1.0204081632653062E-3</v>
      </c>
      <c r="G42" s="7">
        <v>10</v>
      </c>
      <c r="H42" s="19">
        <f t="shared" si="3"/>
        <v>1.0204081632653062E-2</v>
      </c>
      <c r="I42" s="19">
        <f t="shared" si="4"/>
        <v>1.0412328196584758E-4</v>
      </c>
    </row>
    <row r="44" spans="1:9" ht="33.5" customHeight="1" x14ac:dyDescent="0.35">
      <c r="B44" s="16" t="s">
        <v>19</v>
      </c>
      <c r="C44" s="7">
        <f>SQRT(SUM(I34:I41))</f>
        <v>0.33432907977983173</v>
      </c>
      <c r="D44" s="23" t="s">
        <v>8</v>
      </c>
      <c r="E44" s="24">
        <v>0.68</v>
      </c>
    </row>
    <row r="45" spans="1:9" ht="21" customHeight="1" x14ac:dyDescent="0.35">
      <c r="B45" s="15" t="s">
        <v>7</v>
      </c>
      <c r="C45" s="7">
        <v>2</v>
      </c>
      <c r="D45" s="23" t="s">
        <v>21</v>
      </c>
      <c r="E45" s="23" t="str">
        <f>IF(C45=2, "CL 95%", IF(C45=3, "CL 99%", IF(C45=1, "CL 67%", "Please Give K")))</f>
        <v>CL 95%</v>
      </c>
    </row>
    <row r="46" spans="1:9" ht="30.5" customHeight="1" x14ac:dyDescent="0.35">
      <c r="B46" s="25" t="s">
        <v>28</v>
      </c>
      <c r="C46" s="17">
        <f>C44*C45</f>
        <v>0.66865815955966346</v>
      </c>
      <c r="D46" s="23" t="s">
        <v>8</v>
      </c>
      <c r="E46" s="23" t="str">
        <f>E45</f>
        <v>CL 95%</v>
      </c>
    </row>
    <row r="47" spans="1:9" ht="19.5" customHeight="1" x14ac:dyDescent="0.35">
      <c r="B47" s="26" t="s">
        <v>27</v>
      </c>
      <c r="C47" s="27">
        <f>(C46*C29)/100</f>
        <v>5.6044698073759121E-2</v>
      </c>
    </row>
    <row r="50" spans="2:5" x14ac:dyDescent="0.35">
      <c r="B50" s="28">
        <v>1</v>
      </c>
      <c r="C50" s="28" t="s">
        <v>12</v>
      </c>
      <c r="D50" s="3"/>
      <c r="E50" s="3"/>
    </row>
    <row r="51" spans="2:5" x14ac:dyDescent="0.35">
      <c r="B51" s="28">
        <v>2</v>
      </c>
      <c r="C51" s="28" t="s">
        <v>13</v>
      </c>
      <c r="D51" s="3"/>
      <c r="E51" s="3"/>
    </row>
    <row r="52" spans="2:5" x14ac:dyDescent="0.35">
      <c r="B52" s="28">
        <v>3</v>
      </c>
      <c r="C52" s="28"/>
      <c r="D52" s="3"/>
      <c r="E52" s="3"/>
    </row>
  </sheetData>
  <mergeCells count="61">
    <mergeCell ref="G17:H17"/>
    <mergeCell ref="G18:H18"/>
    <mergeCell ref="G19:H19"/>
    <mergeCell ref="G20:H20"/>
    <mergeCell ref="G21:H21"/>
    <mergeCell ref="E17:F17"/>
    <mergeCell ref="E18:F18"/>
    <mergeCell ref="E19:F19"/>
    <mergeCell ref="E20:F20"/>
    <mergeCell ref="E21:F21"/>
    <mergeCell ref="C22:D22"/>
    <mergeCell ref="C23:D23"/>
    <mergeCell ref="C24:D24"/>
    <mergeCell ref="G25:H25"/>
    <mergeCell ref="G26:H26"/>
    <mergeCell ref="E25:F25"/>
    <mergeCell ref="E26:F26"/>
    <mergeCell ref="C25:D25"/>
    <mergeCell ref="C26:D26"/>
    <mergeCell ref="E22:F22"/>
    <mergeCell ref="E23:F23"/>
    <mergeCell ref="E24:F24"/>
    <mergeCell ref="G22:H22"/>
    <mergeCell ref="G23:H23"/>
    <mergeCell ref="G24:H24"/>
    <mergeCell ref="C17:D17"/>
    <mergeCell ref="C18:D18"/>
    <mergeCell ref="C19:D19"/>
    <mergeCell ref="C20:D20"/>
    <mergeCell ref="C21:D21"/>
    <mergeCell ref="G11:H11"/>
    <mergeCell ref="G10:H10"/>
    <mergeCell ref="C9:D9"/>
    <mergeCell ref="C16:D16"/>
    <mergeCell ref="E15:F15"/>
    <mergeCell ref="E16:F16"/>
    <mergeCell ref="G15:H15"/>
    <mergeCell ref="G16:H16"/>
    <mergeCell ref="C14:D14"/>
    <mergeCell ref="E14:F14"/>
    <mergeCell ref="G14:H14"/>
    <mergeCell ref="C15:D15"/>
    <mergeCell ref="C13:D13"/>
    <mergeCell ref="E13:F13"/>
    <mergeCell ref="G13:H13"/>
    <mergeCell ref="B7:E7"/>
    <mergeCell ref="C10:D10"/>
    <mergeCell ref="C11:D11"/>
    <mergeCell ref="C12:D12"/>
    <mergeCell ref="B1:C3"/>
    <mergeCell ref="B5:C5"/>
    <mergeCell ref="B6:C6"/>
    <mergeCell ref="D5:H5"/>
    <mergeCell ref="D6:H6"/>
    <mergeCell ref="D1:H3"/>
    <mergeCell ref="G9:H9"/>
    <mergeCell ref="E9:F9"/>
    <mergeCell ref="E10:F10"/>
    <mergeCell ref="E11:F11"/>
    <mergeCell ref="E12:F12"/>
    <mergeCell ref="G12:H12"/>
  </mergeCells>
  <phoneticPr fontId="1" type="noConversion"/>
  <pageMargins left="0.7" right="0.7" top="0.75" bottom="0.75" header="0.3" footer="0.3"/>
  <pageSetup orientation="landscape" r:id="rId1"/>
  <headerFooter>
    <oddFooter>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Hide!$D$3:$D$5</xm:f>
          </x14:formula1>
          <xm:sqref>C45</xm:sqref>
        </x14:dataValidation>
        <x14:dataValidation type="list" allowBlank="1" showInputMessage="1" showErrorMessage="1" xr:uid="{00000000-0002-0000-0100-000000000000}">
          <x14:formula1>
            <xm:f>Hide!$B$3:$B$4</xm:f>
          </x14:formula1>
          <xm:sqref>D34:D38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2025-01-08T17:14:08Z</dcterms:modified>
</cp:coreProperties>
</file>