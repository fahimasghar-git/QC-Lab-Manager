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48211F68-AF82-49A0-84E1-62C92AD0A2D9}" xr6:coauthVersionLast="36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Budget'!$B$51:$B$53</definedName>
    <definedName name="B">'Uncertainty Budget'!$C$51:$C$52</definedName>
  </definedNames>
  <calcPr calcId="179021"/>
</workbook>
</file>

<file path=xl/calcChain.xml><?xml version="1.0" encoding="utf-8"?>
<calcChain xmlns="http://schemas.openxmlformats.org/spreadsheetml/2006/main">
  <c r="C26" i="1" l="1"/>
  <c r="E26" i="1"/>
  <c r="E25" i="1"/>
  <c r="C25" i="1"/>
  <c r="C28" i="1" l="1"/>
  <c r="I37" i="1"/>
  <c r="H37" i="1"/>
  <c r="H40" i="1"/>
  <c r="H41" i="1"/>
  <c r="H42" i="1"/>
  <c r="E29" i="1" l="1"/>
  <c r="E28" i="1"/>
  <c r="E45" i="1" l="1"/>
  <c r="E46" i="1" s="1"/>
  <c r="F36" i="1"/>
  <c r="H36" i="1" s="1"/>
  <c r="I36" i="1" s="1"/>
  <c r="F37" i="1"/>
  <c r="F38" i="1"/>
  <c r="H38" i="1" s="1"/>
  <c r="I38" i="1" s="1"/>
  <c r="F39" i="1"/>
  <c r="H39" i="1" s="1"/>
  <c r="I39" i="1" s="1"/>
  <c r="F40" i="1"/>
  <c r="F41" i="1"/>
  <c r="F42" i="1"/>
  <c r="I42" i="1" l="1"/>
  <c r="I41" i="1"/>
  <c r="I40" i="1"/>
  <c r="C29" i="1"/>
  <c r="G34" i="1" s="1"/>
  <c r="C30" i="1" l="1"/>
  <c r="C35" i="1" s="1"/>
  <c r="F35" i="1" s="1"/>
  <c r="E30" i="1"/>
  <c r="G35" i="1" s="1"/>
  <c r="H35" i="1" l="1"/>
  <c r="I35" i="1" s="1"/>
  <c r="C34" i="1"/>
  <c r="F34" i="1" s="1"/>
  <c r="H34" i="1" s="1"/>
  <c r="I34" i="1" s="1"/>
  <c r="C44" i="1" l="1"/>
  <c r="C46" i="1" s="1"/>
  <c r="C47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<sst xmlns="http://schemas.openxmlformats.org/spreadsheetml/2006/main" count="48" uniqueCount="38">
  <si>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</si>
  <si>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</si>
  <si>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</si>
  <si>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</si>
  <si>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</si>
  <si>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</si>
  <si>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</si>
  <si>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</si>
  <si>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</si>
  <si>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</si>
  <si>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</si>
  <si>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</si>
  <si>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</si>
  <si>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</si>
  <si>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</si>
  <si>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</si>
  <si>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</si>
  <si>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</si>
  <si>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</si>
  <si>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</si>
  <si>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</si>
  <si>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</si>
  <si>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</si>
  <si>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</si>
  <si>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</si>
  <si>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</si>
  <si>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</si>
  <si>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</si>
  <si>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</si>
  <si>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</si>
  <si>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</si>
  <si>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Flame Photometer</t>
  </si>
  <si>
    <t>CRM</t>
  </si>
  <si>
    <t>Method Reference SFRI Guide-2021(p16-17)</t>
  </si>
  <si>
    <t>Test Title: Potassium</t>
  </si>
  <si>
    <t>Flask (100mL)</t>
  </si>
  <si>
    <t>Date of Performance 10-06-2024</t>
  </si>
  <si>
    <t>Doc Code: QCL-FRM-13.01
Issue Date: 01-10-2024
Revision#: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</si>
</sst>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view="pageLayout" topLeftCell="A26" zoomScaleNormal="90" workbookViewId="0">
      <selection activeCell="E29" sqref="E29"/>
    </sheetView>
  </sheetViews>
  <sheetFormatPr defaultColWidth="9.1796875" defaultRowHeight="14" x14ac:dyDescent="0.35"/>
  <cols>
    <col min="1" max="1" width="3.08984375" style="1" bestFit="1" customWidth="1"/>
    <col min="2" max="2" width="16.7265625" style="1" bestFit="1" customWidth="1"/>
    <col min="3" max="3" width="12.6328125" style="1" bestFit="1" customWidth="1"/>
    <col min="4" max="4" width="11.36328125" style="1" bestFit="1" customWidth="1"/>
    <col min="5" max="5" width="11.90625" style="1" bestFit="1" customWidth="1"/>
    <col min="6" max="6" width="12.6328125" style="1" bestFit="1" customWidth="1"/>
    <col min="7" max="7" width="14.1796875" style="1" bestFit="1" customWidth="1"/>
    <col min="8" max="8" width="18" style="1" bestFit="1" customWidth="1"/>
    <col min="9" max="9" width="19.90625" style="1" bestFit="1" customWidth="1"/>
    <col min="10" max="16384" width="9.1796875" style="3"/>
  </cols>
  <sheetData>
    <row r="1" spans="2:9" ht="14.5" customHeight="1" x14ac:dyDescent="0.35">
      <c r="B1" s="34" t="s">
        <v>37</v>
      </c>
      <c r="C1" s="34"/>
      <c r="D1" s="40" t="s">
        <v>29</v>
      </c>
      <c r="E1" s="40"/>
      <c r="F1" s="40"/>
      <c r="G1" s="40"/>
      <c r="H1" s="40"/>
      <c r="I1" s="2"/>
    </row>
    <row r="2" spans="2:9" ht="14.5" customHeight="1" x14ac:dyDescent="0.35">
      <c r="B2" s="34"/>
      <c r="C2" s="34"/>
      <c r="D2" s="40"/>
      <c r="E2" s="40"/>
      <c r="F2" s="40"/>
      <c r="G2" s="40"/>
      <c r="H2" s="40"/>
      <c r="I2" s="2"/>
    </row>
    <row r="3" spans="2:9" ht="14.5" customHeight="1" x14ac:dyDescent="0.35">
      <c r="B3" s="34"/>
      <c r="C3" s="34"/>
      <c r="D3" s="40"/>
      <c r="E3" s="40"/>
      <c r="F3" s="40"/>
      <c r="G3" s="40"/>
      <c r="H3" s="40"/>
      <c r="I3" s="2"/>
    </row>
    <row r="4" spans="2:9" ht="15.75" customHeight="1" x14ac:dyDescent="0.35">
      <c r="C4" s="4"/>
    </row>
    <row r="5" spans="2:9" x14ac:dyDescent="0.35">
      <c r="B5" s="35" t="s">
        <v>34</v>
      </c>
      <c r="C5" s="36"/>
      <c r="D5" s="38"/>
      <c r="E5" s="38"/>
      <c r="F5" s="38"/>
      <c r="G5" s="38"/>
      <c r="H5" s="38"/>
      <c r="I5" s="5"/>
    </row>
    <row r="6" spans="2:9" ht="29" customHeight="1" x14ac:dyDescent="0.35">
      <c r="B6" s="35" t="s">
        <v>36</v>
      </c>
      <c r="C6" s="37"/>
      <c r="D6" s="39"/>
      <c r="E6" s="38"/>
      <c r="F6" s="38"/>
      <c r="G6" s="38"/>
      <c r="H6" s="38"/>
      <c r="I6" s="5"/>
    </row>
    <row r="7" spans="2:9" ht="14.5" customHeight="1" x14ac:dyDescent="0.35">
      <c r="B7" s="31" t="s">
        <v>33</v>
      </c>
      <c r="C7" s="32"/>
      <c r="D7" s="32"/>
      <c r="E7" s="5"/>
      <c r="F7" s="5"/>
      <c r="G7" s="5"/>
      <c r="H7" s="5"/>
      <c r="I7" s="5"/>
    </row>
    <row r="9" spans="2:9" x14ac:dyDescent="0.35">
      <c r="B9" s="6" t="s">
        <v>0</v>
      </c>
      <c r="C9" s="42" t="s">
        <v>1</v>
      </c>
      <c r="D9" s="42"/>
      <c r="E9" s="42" t="s">
        <v>2</v>
      </c>
      <c r="F9" s="43"/>
      <c r="G9" s="41"/>
      <c r="H9" s="41"/>
    </row>
    <row r="10" spans="2:9" x14ac:dyDescent="0.35">
      <c r="B10" s="7">
        <v>1</v>
      </c>
      <c r="C10" s="33">
        <v>6.4</v>
      </c>
      <c r="D10" s="33"/>
      <c r="E10" s="33">
        <v>6.35</v>
      </c>
      <c r="F10" s="44"/>
      <c r="G10" s="45"/>
      <c r="H10" s="45"/>
    </row>
    <row r="11" spans="2:9" x14ac:dyDescent="0.35">
      <c r="B11" s="7">
        <v>2</v>
      </c>
      <c r="C11" s="33">
        <v>6.53</v>
      </c>
      <c r="D11" s="33"/>
      <c r="E11" s="33">
        <v>6.41</v>
      </c>
      <c r="F11" s="44"/>
      <c r="G11" s="45"/>
      <c r="H11" s="45"/>
    </row>
    <row r="12" spans="2:9" x14ac:dyDescent="0.35">
      <c r="B12" s="7">
        <v>3</v>
      </c>
      <c r="C12" s="33">
        <v>6.34</v>
      </c>
      <c r="D12" s="33"/>
      <c r="E12" s="33">
        <v>6.53</v>
      </c>
      <c r="F12" s="44"/>
      <c r="G12" s="45"/>
      <c r="H12" s="45"/>
    </row>
    <row r="13" spans="2:9" x14ac:dyDescent="0.35">
      <c r="B13" s="7">
        <v>4</v>
      </c>
      <c r="C13" s="33">
        <v>6.47</v>
      </c>
      <c r="D13" s="33"/>
      <c r="E13" s="33">
        <v>6.37</v>
      </c>
      <c r="F13" s="44"/>
      <c r="G13" s="45"/>
      <c r="H13" s="45"/>
    </row>
    <row r="14" spans="2:9" x14ac:dyDescent="0.35">
      <c r="B14" s="7">
        <v>5</v>
      </c>
      <c r="C14" s="33">
        <v>6.37</v>
      </c>
      <c r="D14" s="33"/>
      <c r="E14" s="33">
        <v>6.58</v>
      </c>
      <c r="F14" s="44"/>
      <c r="G14" s="45"/>
      <c r="H14" s="45"/>
    </row>
    <row r="15" spans="2:9" x14ac:dyDescent="0.35">
      <c r="B15" s="7">
        <v>6</v>
      </c>
      <c r="C15" s="33">
        <v>6.58</v>
      </c>
      <c r="D15" s="33"/>
      <c r="E15" s="33">
        <v>6.47</v>
      </c>
      <c r="F15" s="44"/>
      <c r="G15" s="45"/>
      <c r="H15" s="45"/>
    </row>
    <row r="16" spans="2:9" x14ac:dyDescent="0.35">
      <c r="B16" s="7">
        <v>7</v>
      </c>
      <c r="C16" s="33"/>
      <c r="D16" s="33"/>
      <c r="E16" s="33"/>
      <c r="F16" s="44"/>
      <c r="G16" s="45"/>
      <c r="H16" s="45"/>
    </row>
    <row r="17" spans="2:12" x14ac:dyDescent="0.35">
      <c r="B17" s="7">
        <v>8</v>
      </c>
      <c r="C17" s="33"/>
      <c r="D17" s="33"/>
      <c r="E17" s="33"/>
      <c r="F17" s="44"/>
      <c r="G17" s="45"/>
      <c r="H17" s="45"/>
    </row>
    <row r="18" spans="2:12" x14ac:dyDescent="0.35">
      <c r="B18" s="7">
        <v>9</v>
      </c>
      <c r="C18" s="33"/>
      <c r="D18" s="33"/>
      <c r="E18" s="33"/>
      <c r="F18" s="44"/>
      <c r="G18" s="45"/>
      <c r="H18" s="45"/>
      <c r="L18" s="1"/>
    </row>
    <row r="19" spans="2:12" x14ac:dyDescent="0.35">
      <c r="B19" s="7">
        <v>10</v>
      </c>
      <c r="C19" s="33"/>
      <c r="D19" s="33"/>
      <c r="E19" s="33"/>
      <c r="F19" s="44"/>
      <c r="G19" s="45"/>
      <c r="H19" s="45"/>
    </row>
    <row r="20" spans="2:12" x14ac:dyDescent="0.35">
      <c r="B20" s="7">
        <v>11</v>
      </c>
      <c r="C20" s="33"/>
      <c r="D20" s="33"/>
      <c r="E20" s="33"/>
      <c r="F20" s="44"/>
      <c r="G20" s="45"/>
      <c r="H20" s="45"/>
    </row>
    <row r="21" spans="2:12" x14ac:dyDescent="0.35">
      <c r="B21" s="7">
        <v>12</v>
      </c>
      <c r="C21" s="33"/>
      <c r="D21" s="33"/>
      <c r="E21" s="33"/>
      <c r="F21" s="44"/>
      <c r="G21" s="45"/>
      <c r="H21" s="45"/>
    </row>
    <row r="22" spans="2:12" x14ac:dyDescent="0.35">
      <c r="B22" s="7">
        <v>13</v>
      </c>
      <c r="C22" s="33"/>
      <c r="D22" s="33"/>
      <c r="E22" s="33"/>
      <c r="F22" s="44"/>
      <c r="G22" s="45"/>
      <c r="H22" s="45"/>
    </row>
    <row r="23" spans="2:12" x14ac:dyDescent="0.35">
      <c r="B23" s="7">
        <v>14</v>
      </c>
      <c r="C23" s="33"/>
      <c r="D23" s="33"/>
      <c r="E23" s="33"/>
      <c r="F23" s="44"/>
      <c r="G23" s="45"/>
      <c r="H23" s="45"/>
    </row>
    <row r="24" spans="2:12" x14ac:dyDescent="0.35">
      <c r="B24" s="7">
        <v>15</v>
      </c>
      <c r="C24" s="33"/>
      <c r="D24" s="33"/>
      <c r="E24" s="33"/>
      <c r="F24" s="44"/>
      <c r="G24" s="45"/>
      <c r="H24" s="45"/>
    </row>
    <row r="25" spans="2:12" x14ac:dyDescent="0.35">
      <c r="B25" s="8" t="s">
        <v>3</v>
      </c>
      <c r="C25" s="33">
        <f>IFERROR(AVERAGE(C10:C15),0)</f>
        <v>6.4483333333333333</v>
      </c>
      <c r="D25" s="33"/>
      <c r="E25" s="44">
        <f>IFERROR(AVERAGE(E10:E15), 0)</f>
        <v>6.4516666666666671</v>
      </c>
      <c r="F25" s="46"/>
      <c r="G25" s="45"/>
      <c r="H25" s="45"/>
    </row>
    <row r="26" spans="2:12" x14ac:dyDescent="0.35">
      <c r="B26" s="9" t="s">
        <v>4</v>
      </c>
      <c r="C26" s="33">
        <f>IFERROR(STDEV(C10:C15),0)</f>
        <v>9.4533944520826335E-2</v>
      </c>
      <c r="D26" s="33"/>
      <c r="E26" s="44">
        <f>IFERROR(STDEV(E10:E15), 0)</f>
        <v>9.1305348510734491E-2</v>
      </c>
      <c r="F26" s="46"/>
      <c r="G26" s="45"/>
      <c r="H26" s="45"/>
    </row>
    <row r="28" spans="2:12" ht="17.5" customHeight="1" x14ac:dyDescent="0.35">
      <c r="B28" s="10" t="s">
        <v>5</v>
      </c>
      <c r="C28" s="7">
        <f>MAX(C26:E26)</f>
        <v>9.4533944520826335E-2</v>
      </c>
      <c r="D28" s="11" t="s">
        <v>23</v>
      </c>
      <c r="E28" s="7">
        <f>MAX(C10:E24)</f>
        <v>6.58</v>
      </c>
    </row>
    <row r="29" spans="2:12" ht="17" customHeight="1" x14ac:dyDescent="0.35">
      <c r="B29" s="12" t="s">
        <v>6</v>
      </c>
      <c r="C29" s="7">
        <f>IF(C28=C26, C25, IF(C28=E26, E25, IF(C28=E26, E25, "BLANK")))</f>
        <v>6.4483333333333333</v>
      </c>
      <c r="D29" s="13" t="s">
        <v>24</v>
      </c>
      <c r="E29" s="7">
        <f>MIN(C10:E24)</f>
        <v>6.34</v>
      </c>
    </row>
    <row r="30" spans="2:12" ht="20" customHeight="1" x14ac:dyDescent="0.35">
      <c r="B30" s="14" t="s">
        <v>22</v>
      </c>
      <c r="C30" s="7">
        <f>STDEV(C25:E25)</f>
        <v>2.3570226039555269E-3</v>
      </c>
      <c r="D30" s="15" t="s">
        <v>26</v>
      </c>
      <c r="E30" s="7">
        <f>AVERAGE(C25:F25)</f>
        <v>6.45</v>
      </c>
    </row>
    <row r="31" spans="2:12" ht="20" customHeight="1" x14ac:dyDescent="0.35">
      <c r="B31" s="47"/>
      <c r="C31" s="48"/>
      <c r="D31" s="49"/>
      <c r="E31" s="48"/>
    </row>
    <row r="33" spans="1:9" ht="28" x14ac:dyDescent="0.35">
      <c r="A33" s="16" t="s">
        <v>14</v>
      </c>
      <c r="B33" s="16" t="s">
        <v>9</v>
      </c>
      <c r="C33" s="16" t="s">
        <v>10</v>
      </c>
      <c r="D33" s="16" t="s">
        <v>15</v>
      </c>
      <c r="E33" s="16" t="s">
        <v>16</v>
      </c>
      <c r="F33" s="16" t="s">
        <v>11</v>
      </c>
      <c r="G33" s="16" t="s">
        <v>17</v>
      </c>
      <c r="H33" s="16" t="s">
        <v>18</v>
      </c>
      <c r="I33" s="16" t="s">
        <v>19</v>
      </c>
    </row>
    <row r="34" spans="1:9" x14ac:dyDescent="0.35">
      <c r="A34" s="7">
        <v>1</v>
      </c>
      <c r="B34" s="7" t="s">
        <v>25</v>
      </c>
      <c r="C34" s="7">
        <f>C28</f>
        <v>9.4533944520826335E-2</v>
      </c>
      <c r="D34" s="7" t="s">
        <v>12</v>
      </c>
      <c r="E34" s="7">
        <v>1</v>
      </c>
      <c r="F34" s="7">
        <f>IF(E34=2, C34/1.96, IF(E34=3, C34/2.58, IF(E34=1, C34/1, C34/1.73)))</f>
        <v>9.4533944520826335E-2</v>
      </c>
      <c r="G34" s="7">
        <f>C29</f>
        <v>6.4483333333333333</v>
      </c>
      <c r="H34" s="17">
        <f>F34/G34</f>
        <v>1.4660213676013389E-2</v>
      </c>
      <c r="I34" s="18">
        <f>H34*H34</f>
        <v>2.1492186502637003E-4</v>
      </c>
    </row>
    <row r="35" spans="1:9" x14ac:dyDescent="0.35">
      <c r="A35" s="7">
        <v>2</v>
      </c>
      <c r="B35" s="7" t="s">
        <v>22</v>
      </c>
      <c r="C35" s="7">
        <f>C30</f>
        <v>2.3570226039555269E-3</v>
      </c>
      <c r="D35" s="7" t="s">
        <v>12</v>
      </c>
      <c r="E35" s="7">
        <v>1</v>
      </c>
      <c r="F35" s="19">
        <f>IF(E35=2, C35/1.96, IF(E35=3, C35/2.58, IF(E35=1, C35/1, C35/1.73)))</f>
        <v>2.3570226039555269E-3</v>
      </c>
      <c r="G35" s="20">
        <f>E30</f>
        <v>6.45</v>
      </c>
      <c r="H35" s="17">
        <f>F35/G35</f>
        <v>3.6542986107837626E-4</v>
      </c>
      <c r="I35" s="18">
        <f>H35*H35</f>
        <v>1.3353898336776138E-7</v>
      </c>
    </row>
    <row r="36" spans="1:9" x14ac:dyDescent="0.35">
      <c r="A36" s="7">
        <v>3</v>
      </c>
      <c r="B36" s="7" t="s">
        <v>32</v>
      </c>
      <c r="C36" s="7">
        <v>1.5E-3</v>
      </c>
      <c r="D36" s="7" t="s">
        <v>20</v>
      </c>
      <c r="E36" s="7">
        <v>2</v>
      </c>
      <c r="F36" s="21">
        <f t="shared" ref="F36:F42" si="0">IF(E36=2, C36/1.96, IF(E36=3, C36/2.58, IF(E36=1, C36/1, C36/1.73)))</f>
        <v>7.6530612244897966E-4</v>
      </c>
      <c r="G36" s="7">
        <v>998</v>
      </c>
      <c r="H36" s="19">
        <f>F36/G36</f>
        <v>7.6683980205308586E-7</v>
      </c>
      <c r="I36" s="18">
        <f t="shared" ref="I36:I39" si="1">H36*H36</f>
        <v>5.8804328201281589E-13</v>
      </c>
    </row>
    <row r="37" spans="1:9" x14ac:dyDescent="0.35">
      <c r="A37" s="7">
        <v>4</v>
      </c>
      <c r="B37" s="7" t="s">
        <v>30</v>
      </c>
      <c r="C37" s="7">
        <v>6.0000000000000001E-3</v>
      </c>
      <c r="D37" s="7" t="s">
        <v>20</v>
      </c>
      <c r="E37" s="7">
        <v>2</v>
      </c>
      <c r="F37" s="20">
        <f t="shared" si="0"/>
        <v>3.0612244897959186E-3</v>
      </c>
      <c r="G37" s="7">
        <v>1</v>
      </c>
      <c r="H37" s="20">
        <f t="shared" ref="H37" si="2">F37/G37</f>
        <v>3.0612244897959186E-3</v>
      </c>
      <c r="I37" s="18">
        <f t="shared" si="1"/>
        <v>9.3710953769262823E-6</v>
      </c>
    </row>
    <row r="38" spans="1:9" x14ac:dyDescent="0.35">
      <c r="A38" s="7">
        <v>5</v>
      </c>
      <c r="B38" s="7" t="s">
        <v>35</v>
      </c>
      <c r="C38" s="7">
        <v>0.01</v>
      </c>
      <c r="D38" s="7" t="s">
        <v>20</v>
      </c>
      <c r="E38" s="7">
        <v>2</v>
      </c>
      <c r="F38" s="22">
        <f t="shared" si="0"/>
        <v>5.1020408163265311E-3</v>
      </c>
      <c r="G38" s="7">
        <v>100</v>
      </c>
      <c r="H38" s="23">
        <f>F38/G38*500</f>
        <v>2.5510204081632654E-2</v>
      </c>
      <c r="I38" s="18">
        <f t="shared" si="1"/>
        <v>6.5077051228654734E-4</v>
      </c>
    </row>
    <row r="39" spans="1:9" x14ac:dyDescent="0.35">
      <c r="A39" s="7">
        <v>6</v>
      </c>
      <c r="B39" s="7" t="s">
        <v>31</v>
      </c>
      <c r="C39" s="7">
        <v>0.57999999999999996</v>
      </c>
      <c r="D39" s="7" t="s">
        <v>20</v>
      </c>
      <c r="E39" s="7">
        <v>2</v>
      </c>
      <c r="F39" s="20">
        <f t="shared" si="0"/>
        <v>0.29591836734693877</v>
      </c>
      <c r="G39" s="7">
        <v>100</v>
      </c>
      <c r="H39" s="20">
        <f>F39/G39*100</f>
        <v>0.29591836734693877</v>
      </c>
      <c r="I39" s="18">
        <f t="shared" si="1"/>
        <v>8.75676801332778E-2</v>
      </c>
    </row>
    <row r="40" spans="1:9" x14ac:dyDescent="0.35">
      <c r="A40" s="7">
        <v>7</v>
      </c>
      <c r="B40" s="7"/>
      <c r="C40" s="7"/>
      <c r="D40" s="7"/>
      <c r="E40" s="7"/>
      <c r="F40" s="7">
        <f t="shared" si="0"/>
        <v>0</v>
      </c>
      <c r="G40" s="7"/>
      <c r="H40" s="18">
        <f t="shared" ref="H40:H42" si="3">IFERROR(F40/G40*100,0)</f>
        <v>0</v>
      </c>
      <c r="I40" s="18">
        <f t="shared" ref="I40:I42" si="4">H40*H40</f>
        <v>0</v>
      </c>
    </row>
    <row r="41" spans="1:9" x14ac:dyDescent="0.35">
      <c r="A41" s="7">
        <v>8</v>
      </c>
      <c r="B41" s="7"/>
      <c r="C41" s="7"/>
      <c r="D41" s="7"/>
      <c r="E41" s="7"/>
      <c r="F41" s="7">
        <f t="shared" si="0"/>
        <v>0</v>
      </c>
      <c r="G41" s="7"/>
      <c r="H41" s="18">
        <f t="shared" si="3"/>
        <v>0</v>
      </c>
      <c r="I41" s="18">
        <f t="shared" si="4"/>
        <v>0</v>
      </c>
    </row>
    <row r="42" spans="1:9" x14ac:dyDescent="0.35">
      <c r="A42" s="7">
        <v>9</v>
      </c>
      <c r="B42" s="7"/>
      <c r="C42" s="7"/>
      <c r="D42" s="7"/>
      <c r="E42" s="7"/>
      <c r="F42" s="7">
        <f t="shared" si="0"/>
        <v>0</v>
      </c>
      <c r="G42" s="7"/>
      <c r="H42" s="18">
        <f t="shared" si="3"/>
        <v>0</v>
      </c>
      <c r="I42" s="18">
        <f t="shared" si="4"/>
        <v>0</v>
      </c>
    </row>
    <row r="43" spans="1:9" x14ac:dyDescent="0.35">
      <c r="I43" s="24"/>
    </row>
    <row r="44" spans="1:9" ht="28" x14ac:dyDescent="0.35">
      <c r="B44" s="16" t="s">
        <v>19</v>
      </c>
      <c r="C44" s="7">
        <f>SQRT(SUM(I34:I42))</f>
        <v>0.29739347192825039</v>
      </c>
      <c r="D44" s="25" t="s">
        <v>8</v>
      </c>
      <c r="E44" s="26">
        <v>0.68</v>
      </c>
    </row>
    <row r="45" spans="1:9" ht="30" customHeight="1" x14ac:dyDescent="0.35">
      <c r="B45" s="15" t="s">
        <v>7</v>
      </c>
      <c r="C45" s="7">
        <v>2</v>
      </c>
      <c r="D45" s="25" t="s">
        <v>21</v>
      </c>
      <c r="E45" s="25" t="str">
        <f>IF(C45=2, "CL 95%", IF(C45=3, "CL 99%", IF(C45=1, "CL 67%", "Please Give K")))</f>
        <v>CL 95%</v>
      </c>
    </row>
    <row r="46" spans="1:9" ht="28" x14ac:dyDescent="0.35">
      <c r="B46" s="27" t="s">
        <v>28</v>
      </c>
      <c r="C46" s="7">
        <f>C44*C45</f>
        <v>0.59478694385650077</v>
      </c>
      <c r="D46" s="25" t="s">
        <v>8</v>
      </c>
      <c r="E46" s="25" t="str">
        <f>E45</f>
        <v>CL 95%</v>
      </c>
    </row>
    <row r="47" spans="1:9" ht="28" x14ac:dyDescent="0.35">
      <c r="B47" s="28" t="s">
        <v>27</v>
      </c>
      <c r="C47" s="29">
        <f>(C46*C29)/100</f>
        <v>3.8353844763013359E-2</v>
      </c>
    </row>
    <row r="51" spans="2:5" x14ac:dyDescent="0.35">
      <c r="B51" s="30">
        <v>1</v>
      </c>
      <c r="C51" s="30" t="s">
        <v>12</v>
      </c>
      <c r="D51" s="3"/>
      <c r="E51" s="3"/>
    </row>
    <row r="52" spans="2:5" x14ac:dyDescent="0.35">
      <c r="B52" s="30">
        <v>2</v>
      </c>
      <c r="C52" s="30" t="s">
        <v>13</v>
      </c>
      <c r="D52" s="3"/>
      <c r="E52" s="3"/>
    </row>
    <row r="53" spans="2:5" x14ac:dyDescent="0.35">
      <c r="B53" s="30">
        <v>3</v>
      </c>
      <c r="C53" s="30"/>
      <c r="D53" s="3"/>
      <c r="E53" s="3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Hide!$B$3:$B$4</xm:f>
          </x14:formula1>
          <xm:sqref>D34:D42</xm:sqref>
        </x14:dataValidation>
        <x14:dataValidation type="list" allowBlank="1" showInputMessage="1" showErrorMessage="1" xr:uid="{00000000-0002-0000-0100-000001000000}">
          <x14:formula1>
            <xm:f>Hide!$D$3:$D$5</xm:f>
          </x14:formula1>
          <xm:sqref>E34:E42 C45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2010-01-08T06:13:27Z</cp:lastPrinted>
  <dcterms:created xsi:type="dcterms:W3CDTF">2006-09-16T00:00:00Z</dcterms:created>
  <dcterms:modified xsi:type="dcterms:W3CDTF">2025-01-08T17:19:56Z</dcterms:modified>
</cp:coreProperties>
</file>