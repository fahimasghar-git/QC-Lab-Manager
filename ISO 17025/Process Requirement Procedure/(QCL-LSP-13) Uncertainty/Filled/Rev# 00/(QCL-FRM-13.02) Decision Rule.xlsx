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esktop\"/>
    </mc:Choice>
  </mc:AlternateContent>
  <xr:revisionPtr revIDLastSave="0" documentId="13_ncr:1_{5CDCE773-1C9E-4A19-A8F1-33B4B44232D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Decision Rule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3" l="1"/>
  <c r="I11" i="3"/>
  <c r="H11" i="3"/>
  <c r="F12" i="3"/>
  <c r="I12" i="3" s="1"/>
  <c r="F13" i="3"/>
  <c r="F11" i="3"/>
  <c r="E12" i="3"/>
  <c r="H12" i="3" s="1"/>
  <c r="E13" i="3"/>
  <c r="H13" i="3" s="1"/>
  <c r="E11" i="3"/>
</calcChain>
</file>

<file path=xl/sharedStrings.xml><?xml version="1.0" encoding="utf-8"?>
<sst xmlns="http://schemas.openxmlformats.org/spreadsheetml/2006/main" count="33" uniqueCount="28">
  <si>
    <t>ISSUE DATE: Jan 01 2024</t>
  </si>
  <si>
    <t>REV NO.: 00</t>
  </si>
  <si>
    <t>Active Ingredient</t>
  </si>
  <si>
    <t>S #</t>
  </si>
  <si>
    <t>Test Parameter</t>
  </si>
  <si>
    <t>FAD Limits (Active Ingredients)</t>
  </si>
  <si>
    <t>QC Lab Acceptable Limits (Pass)</t>
  </si>
  <si>
    <t>Lower Limit</t>
  </si>
  <si>
    <t>Upper Limit</t>
  </si>
  <si>
    <t>QC Lab MU(±)</t>
  </si>
  <si>
    <t>Active Range (%)</t>
  </si>
  <si>
    <t>FAD Tolerances</t>
  </si>
  <si>
    <t>DECISION RULE</t>
  </si>
  <si>
    <t>Upto 2.5</t>
  </si>
  <si>
    <t>&gt;50</t>
  </si>
  <si>
    <t>10--25</t>
  </si>
  <si>
    <t>2.5--10</t>
  </si>
  <si>
    <t>25--50</t>
  </si>
  <si>
    <t>Nitrogen</t>
  </si>
  <si>
    <t>Phosphorus</t>
  </si>
  <si>
    <t>Potassium</t>
  </si>
  <si>
    <t>% w/v</t>
  </si>
  <si>
    <t>Signature:</t>
  </si>
  <si>
    <t>Prepared by (AQCM):</t>
  </si>
  <si>
    <t>Approved by (QCM):</t>
  </si>
  <si>
    <t xml:space="preserve">Date: </t>
  </si>
  <si>
    <t>Date:</t>
  </si>
  <si>
    <t xml:space="preserve">DOC #: QCL-FRM-13.02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</si>
</sst>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5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3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right" wrapText="1"/>
    </xf>
    <xf numFmtId="0" fontId="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44451</xdr:colOff>
      <xdr:row>0</xdr:row>
      <xdr:rowOff>196850</xdr:rowOff>
    </xdr:from>
    <xdr:ext cx="2406649" cy="1085850"/>
    <xdr:pic>
      <xdr:nvPicPr>
        <xdr:cNvPr id="2" name="Picture 1">
          <a:extLst>
            <a:ext uri="{FF2B5EF4-FFF2-40B4-BE49-F238E27FC236}">
              <a16:creationId xmlns:a16="http://schemas.microsoft.com/office/drawing/2014/main" id="{C5F13EBD-CA41-4C39-B57B-A689E23CD10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1" y="196850"/>
          <a:ext cx="2406649" cy="10858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6498-8BC6-483D-8835-13B61C7EED69}">
  <dimension ref="A1:I33"/>
  <sheetViews>
    <sheetView tabSelected="1" workbookViewId="0">
      <selection activeCell="A4" sqref="A4:I4"/>
    </sheetView>
  </sheetViews>
  <sheetFormatPr defaultRowHeight="14" x14ac:dyDescent="0.3"/>
  <cols>
    <col min="1" max="1" width="6.08984375" style="3" customWidth="1"/>
    <col min="2" max="2" width="16.81640625" style="3" customWidth="1"/>
    <col min="3" max="3" width="10.36328125" style="3" customWidth="1"/>
    <col min="4" max="4" width="11.81640625" style="3" customWidth="1"/>
    <col min="5" max="5" width="14.26953125" style="3" customWidth="1"/>
    <col min="6" max="6" width="13.1796875" style="3" customWidth="1"/>
    <col min="7" max="7" width="15" style="3" customWidth="1"/>
    <col min="8" max="8" width="15.90625" style="3" customWidth="1"/>
    <col min="9" max="9" width="15.81640625" style="3" customWidth="1"/>
    <col min="10" max="16384" width="8.7265625" style="3"/>
  </cols>
  <sheetData>
    <row r="1" spans="1:9" ht="35" customHeight="1" x14ac:dyDescent="0.3">
      <c r="A1" s="15"/>
      <c r="B1" s="15"/>
      <c r="D1" s="19" t="s">
        <v>27</v>
      </c>
      <c r="E1" s="19"/>
      <c r="F1" s="19"/>
      <c r="G1" s="19"/>
      <c r="H1" s="19"/>
      <c r="I1" s="19"/>
    </row>
    <row r="2" spans="1:9" ht="35" customHeight="1" x14ac:dyDescent="0.3">
      <c r="A2" s="15"/>
      <c r="B2" s="15"/>
      <c r="D2" s="19" t="s">
        <v>1</v>
      </c>
      <c r="E2" s="19"/>
      <c r="F2" s="19"/>
      <c r="G2" s="19"/>
      <c r="H2" s="19"/>
      <c r="I2" s="19"/>
    </row>
    <row r="3" spans="1:9" ht="35" customHeight="1" x14ac:dyDescent="0.3">
      <c r="A3" s="15"/>
      <c r="B3" s="15"/>
      <c r="D3" s="19" t="s">
        <v>0</v>
      </c>
      <c r="E3" s="19"/>
      <c r="F3" s="19"/>
      <c r="G3" s="19"/>
      <c r="H3" s="19"/>
      <c r="I3" s="19"/>
    </row>
    <row r="4" spans="1:9" ht="50" customHeight="1" x14ac:dyDescent="0.3">
      <c r="A4" s="20" t="s">
        <v>12</v>
      </c>
      <c r="B4" s="20"/>
      <c r="C4" s="20"/>
      <c r="D4" s="20"/>
      <c r="E4" s="20"/>
      <c r="F4" s="20"/>
      <c r="G4" s="20"/>
      <c r="H4" s="20"/>
      <c r="I4" s="20"/>
    </row>
    <row r="5" spans="1:9" ht="55" customHeight="1" x14ac:dyDescent="0.3"/>
    <row r="6" spans="1:9" ht="40" customHeight="1" x14ac:dyDescent="0.3">
      <c r="B6" s="14" t="s">
        <v>10</v>
      </c>
      <c r="C6" s="14"/>
      <c r="D6" s="2" t="s">
        <v>13</v>
      </c>
      <c r="E6" s="2" t="s">
        <v>16</v>
      </c>
      <c r="F6" s="8" t="s">
        <v>15</v>
      </c>
      <c r="G6" s="2" t="s">
        <v>17</v>
      </c>
      <c r="H6" s="2" t="s">
        <v>14</v>
      </c>
    </row>
    <row r="7" spans="1:9" ht="40" customHeight="1" x14ac:dyDescent="0.3">
      <c r="B7" s="14" t="s">
        <v>11</v>
      </c>
      <c r="C7" s="14"/>
      <c r="D7" s="9">
        <v>0.15</v>
      </c>
      <c r="E7" s="9">
        <v>0.1</v>
      </c>
      <c r="F7" s="9">
        <v>0.06</v>
      </c>
      <c r="G7" s="9">
        <v>0.05</v>
      </c>
      <c r="H7" s="9">
        <v>0.03</v>
      </c>
    </row>
    <row r="8" spans="1:9" ht="45" customHeight="1" x14ac:dyDescent="0.3">
      <c r="A8" s="4"/>
      <c r="B8" s="4"/>
      <c r="C8" s="4"/>
      <c r="D8" s="4"/>
    </row>
    <row r="9" spans="1:9" ht="50" customHeight="1" x14ac:dyDescent="0.3">
      <c r="A9" s="6"/>
      <c r="B9" s="6"/>
      <c r="C9" s="6"/>
      <c r="D9" s="6"/>
      <c r="E9" s="21" t="s">
        <v>5</v>
      </c>
      <c r="F9" s="21"/>
      <c r="G9" s="1"/>
      <c r="H9" s="21" t="s">
        <v>6</v>
      </c>
      <c r="I9" s="21"/>
    </row>
    <row r="10" spans="1:9" ht="55" customHeight="1" x14ac:dyDescent="0.3">
      <c r="A10" s="1" t="s">
        <v>3</v>
      </c>
      <c r="B10" s="1" t="s">
        <v>4</v>
      </c>
      <c r="C10" s="21" t="s">
        <v>2</v>
      </c>
      <c r="D10" s="21"/>
      <c r="E10" s="1" t="s">
        <v>7</v>
      </c>
      <c r="F10" s="1" t="s">
        <v>8</v>
      </c>
      <c r="G10" s="1" t="s">
        <v>9</v>
      </c>
      <c r="H10" s="1" t="s">
        <v>7</v>
      </c>
      <c r="I10" s="1" t="s">
        <v>8</v>
      </c>
    </row>
    <row r="11" spans="1:9" ht="35" customHeight="1" x14ac:dyDescent="0.3">
      <c r="A11" s="7">
        <v>1</v>
      </c>
      <c r="B11" s="7" t="s">
        <v>18</v>
      </c>
      <c r="C11" s="10">
        <v>8</v>
      </c>
      <c r="D11" s="7" t="s">
        <v>21</v>
      </c>
      <c r="E11" s="11">
        <f>C11-C11*10/100</f>
        <v>7.2</v>
      </c>
      <c r="F11" s="11">
        <f>C11+C11*10/100</f>
        <v>8.8000000000000007</v>
      </c>
      <c r="G11" s="7">
        <v>0.16500000000000001</v>
      </c>
      <c r="H11" s="12">
        <f>E11+G11</f>
        <v>7.3650000000000002</v>
      </c>
      <c r="I11" s="12">
        <f>F11-G11</f>
        <v>8.6350000000000016</v>
      </c>
    </row>
    <row r="12" spans="1:9" ht="35" customHeight="1" x14ac:dyDescent="0.3">
      <c r="A12" s="7">
        <v>2</v>
      </c>
      <c r="B12" s="7" t="s">
        <v>19</v>
      </c>
      <c r="C12" s="10">
        <v>8</v>
      </c>
      <c r="D12" s="7" t="s">
        <v>21</v>
      </c>
      <c r="E12" s="11">
        <f t="shared" ref="E12:E13" si="0">C12-C12*10/100</f>
        <v>7.2</v>
      </c>
      <c r="F12" s="11">
        <f t="shared" ref="F12:F13" si="1">C12+C12*10/100</f>
        <v>8.8000000000000007</v>
      </c>
      <c r="G12" s="12">
        <v>0.09</v>
      </c>
      <c r="H12" s="12">
        <f t="shared" ref="H12:H13" si="2">E12+G12</f>
        <v>7.29</v>
      </c>
      <c r="I12" s="12">
        <f t="shared" ref="I12:I13" si="3">F12-G12</f>
        <v>8.7100000000000009</v>
      </c>
    </row>
    <row r="13" spans="1:9" ht="35" customHeight="1" x14ac:dyDescent="0.3">
      <c r="A13" s="7">
        <v>3</v>
      </c>
      <c r="B13" s="7" t="s">
        <v>20</v>
      </c>
      <c r="C13" s="10">
        <v>6</v>
      </c>
      <c r="D13" s="7" t="s">
        <v>21</v>
      </c>
      <c r="E13" s="11">
        <f t="shared" si="0"/>
        <v>5.4</v>
      </c>
      <c r="F13" s="11">
        <f t="shared" si="1"/>
        <v>6.6</v>
      </c>
      <c r="G13" s="7">
        <v>5.3999999999999999E-2</v>
      </c>
      <c r="H13" s="12">
        <f t="shared" si="2"/>
        <v>5.4540000000000006</v>
      </c>
      <c r="I13" s="12">
        <f t="shared" si="3"/>
        <v>6.5459999999999994</v>
      </c>
    </row>
    <row r="14" spans="1:9" ht="35" customHeight="1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ht="35" customHeight="1" x14ac:dyDescent="0.3">
      <c r="A15" s="5"/>
      <c r="B15" s="5"/>
      <c r="C15" s="5"/>
      <c r="D15" s="5"/>
      <c r="E15" s="5"/>
      <c r="F15" s="5"/>
      <c r="G15" s="5"/>
      <c r="H15" s="5"/>
      <c r="I15" s="5"/>
    </row>
    <row r="16" spans="1:9" ht="35" customHeight="1" x14ac:dyDescent="0.3">
      <c r="A16" s="5"/>
      <c r="B16" s="5"/>
      <c r="C16" s="5"/>
      <c r="D16" s="5"/>
      <c r="E16" s="5"/>
      <c r="F16" s="5"/>
      <c r="G16" s="5"/>
      <c r="H16" s="5"/>
      <c r="I16" s="5"/>
    </row>
    <row r="31" spans="1:9" ht="45" customHeight="1" x14ac:dyDescent="0.3">
      <c r="A31" s="17" t="s">
        <v>23</v>
      </c>
      <c r="B31" s="17"/>
      <c r="C31" s="17"/>
      <c r="D31" s="17"/>
      <c r="E31" s="13"/>
      <c r="F31" s="13"/>
      <c r="G31" s="17" t="s">
        <v>24</v>
      </c>
      <c r="H31" s="17"/>
      <c r="I31" s="17"/>
    </row>
    <row r="32" spans="1:9" ht="85" customHeight="1" x14ac:dyDescent="0.3">
      <c r="A32" s="18" t="s">
        <v>22</v>
      </c>
      <c r="B32" s="18"/>
      <c r="C32" s="18"/>
      <c r="D32" s="18"/>
      <c r="G32" s="18" t="s">
        <v>22</v>
      </c>
      <c r="H32" s="18"/>
      <c r="I32" s="18"/>
    </row>
    <row r="33" spans="1:9" ht="28" customHeight="1" x14ac:dyDescent="0.3">
      <c r="A33" s="16" t="s">
        <v>25</v>
      </c>
      <c r="B33" s="16"/>
      <c r="C33" s="16"/>
      <c r="D33" s="16"/>
      <c r="G33" s="16" t="s">
        <v>26</v>
      </c>
      <c r="H33" s="16"/>
      <c r="I33" s="16"/>
    </row>
  </sheetData>
  <mergeCells count="16">
    <mergeCell ref="C10:D10"/>
    <mergeCell ref="E9:F9"/>
    <mergeCell ref="H9:I9"/>
    <mergeCell ref="B6:C6"/>
    <mergeCell ref="B7:C7"/>
    <mergeCell ref="A1:B3"/>
    <mergeCell ref="D1:I1"/>
    <mergeCell ref="D2:I2"/>
    <mergeCell ref="D3:I3"/>
    <mergeCell ref="A4:I4"/>
    <mergeCell ref="G33:I33"/>
    <mergeCell ref="A33:D33"/>
    <mergeCell ref="G31:I31"/>
    <mergeCell ref="A31:D31"/>
    <mergeCell ref="G32:I32"/>
    <mergeCell ref="A32:D32"/>
  </mergeCells>
  <pageMargins left="0.7" right="0.7" top="0.75" bottom="0.75" header="0.3" footer="0.3"/>
  <pageSetup paperSize="3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2024-05-15T04:57:40Z</cp:lastPrinted>
  <dcterms:created xsi:type="dcterms:W3CDTF">2015-06-05T18:17:20Z</dcterms:created>
  <dcterms:modified xsi:type="dcterms:W3CDTF">2024-05-15T04:58:09Z</dcterms:modified>
</cp:coreProperties>
</file>