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17025\SUPPOR~1\ISO170~1\PROCES~1\(Q847B~1\PROCED~1\Filled\17.13\"/>
    </mc:Choice>
  </mc:AlternateContent>
  <xr:revisionPtr revIDLastSave="0" documentId="13_ncr:1_{00CEF833-83EF-49AF-8229-F99E260293BC}" xr6:coauthVersionLast="3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(QC) Data Sheet" sheetId="1" r:id="rId1"/>
    <sheet name="Quality Control Chart" sheetId="2" r:id="rId2"/>
    <sheet name="Decision Rule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3" l="1"/>
  <c r="I10" i="3" s="1"/>
  <c r="F11" i="3"/>
  <c r="I11" i="3" s="1"/>
  <c r="F9" i="3"/>
  <c r="I9" i="3" s="1"/>
  <c r="E10" i="3"/>
  <c r="H10" i="3" s="1"/>
  <c r="E11" i="3"/>
  <c r="H11" i="3" s="1"/>
  <c r="E9" i="3"/>
  <c r="H9" i="3" s="1"/>
</calcChain>
</file>

<file path=xl/sharedStrings.xml><?xml version="1.0" encoding="utf-8"?>
<sst xmlns="http://schemas.openxmlformats.org/spreadsheetml/2006/main" count="71" uniqueCount="49">
  <si>
    <t>ISSUE DATE: Jan 01 2024</t>
  </si>
  <si>
    <t>REV NO.: 00</t>
  </si>
  <si>
    <t>QUALITY CONTROL CHART</t>
  </si>
  <si>
    <t>Month:</t>
  </si>
  <si>
    <t xml:space="preserve">Title: </t>
  </si>
  <si>
    <t xml:space="preserve">DOC #: QCL-FRM-17.13 </t>
  </si>
  <si>
    <t>NPK-8-8-6</t>
  </si>
  <si>
    <t>Sr. No.</t>
  </si>
  <si>
    <t>Batch #</t>
  </si>
  <si>
    <t>N</t>
  </si>
  <si>
    <t>P</t>
  </si>
  <si>
    <t>K</t>
  </si>
  <si>
    <t>QUALITY CONTROL DATA SHEET</t>
  </si>
  <si>
    <t>Active Ingredient</t>
  </si>
  <si>
    <t>Product</t>
  </si>
  <si>
    <t>VL-NPK</t>
  </si>
  <si>
    <t>Prepared by (Analyst): _______________________                                                                               Approved by (AQCM/QCM): ____________________</t>
  </si>
  <si>
    <t>Approved Date: _______________________________</t>
  </si>
  <si>
    <t>Prepared by (Analyst): _____________                                    Approved by (AQCM/QCM): _______________</t>
  </si>
  <si>
    <t>Approved Date: __________________________</t>
  </si>
  <si>
    <t>S #</t>
  </si>
  <si>
    <t>Test Parameter</t>
  </si>
  <si>
    <t>FAD Limits (Active Ingredients)</t>
  </si>
  <si>
    <t>QC Lab Acceptable Limits (Pass)</t>
  </si>
  <si>
    <t>Lower Limit</t>
  </si>
  <si>
    <t>Upper Limit</t>
  </si>
  <si>
    <t>QC Lab MU(±)</t>
  </si>
  <si>
    <t>Active Range (%)</t>
  </si>
  <si>
    <t>FAD Tolerances</t>
  </si>
  <si>
    <t>DECISION RULE</t>
  </si>
  <si>
    <t>Upto 2.5</t>
  </si>
  <si>
    <t>&gt;50</t>
  </si>
  <si>
    <t>10--25</t>
  </si>
  <si>
    <t>2.5--10</t>
  </si>
  <si>
    <t>25--50</t>
  </si>
  <si>
    <t>Nitrogen</t>
  </si>
  <si>
    <t>Phosphorus</t>
  </si>
  <si>
    <t>Potassium</t>
  </si>
  <si>
    <t>% w/v</t>
  </si>
  <si>
    <t>Signature:</t>
  </si>
  <si>
    <t xml:space="preserve">Date: </t>
  </si>
  <si>
    <t>Date:</t>
  </si>
  <si>
    <t>GR24007</t>
  </si>
  <si>
    <t>GR24008</t>
  </si>
  <si>
    <t>GR24009</t>
  </si>
  <si>
    <t>Jul - Dec 2024</t>
  </si>
  <si>
    <t>GR24010</t>
  </si>
  <si>
    <t>Prepared by (AQCM): Masab Rasheed</t>
  </si>
  <si>
    <t>Approved by (QCM): Himayat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</si>
</sst>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.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202124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10" fillId="0" borderId="0" xfId="0" applyFont="1"/>
    <xf numFmtId="0" fontId="7" fillId="0" borderId="4" xfId="0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Nitrogen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8.5%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Sheet'!$D$9:$D$14</c:f>
              <c:numCache>
                <c:formatCode>General</c:formatCode>
                <c:ptCount val="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0-4C82-B9FD-35B8DD2DA01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Sheet'!$E$9:$E$14</c:f>
              <c:numCache>
                <c:formatCode>General</c:formatCode>
                <c:ptCount val="6"/>
                <c:pt idx="0">
                  <c:v>8.18</c:v>
                </c:pt>
                <c:pt idx="1">
                  <c:v>8.23</c:v>
                </c:pt>
                <c:pt idx="2">
                  <c:v>8.31</c:v>
                </c:pt>
                <c:pt idx="3">
                  <c:v>8.4600000000000009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0-4C82-B9FD-35B8DD2DA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15232"/>
        <c:axId val="126122960"/>
      </c:lineChart>
      <c:catAx>
        <c:axId val="68715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960"/>
        <c:crosses val="autoZero"/>
        <c:auto val="1"/>
        <c:lblAlgn val="ctr"/>
        <c:lblOffset val="100"/>
        <c:noMultiLvlLbl val="0"/>
      </c:catAx>
      <c:valAx>
        <c:axId val="12612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Phosphorus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8.5%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Sheet'!$F$9:$F$14</c:f>
              <c:numCache>
                <c:formatCode>General</c:formatCode>
                <c:ptCount val="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C-4C30-96BC-E065DD33BC0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Sheet'!$G$9:$G$14</c:f>
              <c:numCache>
                <c:formatCode>General</c:formatCode>
                <c:ptCount val="6"/>
                <c:pt idx="0">
                  <c:v>8.4600000000000009</c:v>
                </c:pt>
                <c:pt idx="1">
                  <c:v>8.34</c:v>
                </c:pt>
                <c:pt idx="2">
                  <c:v>8.4</c:v>
                </c:pt>
                <c:pt idx="3">
                  <c:v>8.2799999999999994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C-4C30-96BC-E065DD33B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2272"/>
        <c:axId val="126128784"/>
      </c:lineChart>
      <c:catAx>
        <c:axId val="4662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8784"/>
        <c:crosses val="autoZero"/>
        <c:auto val="1"/>
        <c:lblAlgn val="ctr"/>
        <c:lblOffset val="100"/>
        <c:noMultiLvlLbl val="0"/>
      </c:catAx>
      <c:valAx>
        <c:axId val="12612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Potassium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6.5%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Sheet'!$H$9:$H$14</c:f>
              <c:numCache>
                <c:formatCode>General</c:formatCode>
                <c:ptCount val="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0-457E-BF61-174CA3FA121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Sheet'!$I$9:$I$14</c:f>
              <c:numCache>
                <c:formatCode>General</c:formatCode>
                <c:ptCount val="6"/>
                <c:pt idx="0">
                  <c:v>6.3</c:v>
                </c:pt>
                <c:pt idx="1">
                  <c:v>6.17</c:v>
                </c:pt>
                <c:pt idx="2">
                  <c:v>6.2</c:v>
                </c:pt>
                <c:pt idx="3">
                  <c:v>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0-457E-BF61-174CA3FA1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15296"/>
        <c:axId val="53787120"/>
      </c:lineChart>
      <c:catAx>
        <c:axId val="15901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7120"/>
        <c:crosses val="autoZero"/>
        <c:auto val="1"/>
        <c:lblAlgn val="ctr"/>
        <c:lblOffset val="100"/>
        <c:noMultiLvlLbl val="0"/>
      </c:catAx>
      <c:valAx>
        <c:axId val="537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98649" cy="679450"/>
    <xdr:pic>
      <xdr:nvPicPr>
        <xdr:cNvPr id="2" name="Picture 1">
          <a:extLst>
            <a:ext uri="{FF2B5EF4-FFF2-40B4-BE49-F238E27FC236}">
              <a16:creationId xmlns:a16="http://schemas.microsoft.com/office/drawing/2014/main" id="{6A5DDC9A-67D0-4BAE-9140-CBECDA646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98649" cy="679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66899" cy="673100"/>
    <xdr:pic>
      <xdr:nvPicPr>
        <xdr:cNvPr id="2" name="Picture 1">
          <a:extLst>
            <a:ext uri="{FF2B5EF4-FFF2-40B4-BE49-F238E27FC236}">
              <a16:creationId xmlns:a16="http://schemas.microsoft.com/office/drawing/2014/main" id="{A62D3EE6-A31E-4336-B078-0DF9F003075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66899" cy="67310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114300</xdr:colOff>
      <xdr:row>7</xdr:row>
      <xdr:rowOff>12700</xdr:rowOff>
    </xdr:from>
    <xdr:to>
      <xdr:col>4</xdr:col>
      <xdr:colOff>222250</xdr:colOff>
      <xdr:row>16</xdr:row>
      <xdr:rowOff>209550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4C2FE-424F-4884-8EA6-36AA7DF24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374651</xdr:colOff>
      <xdr:row>7</xdr:row>
      <xdr:rowOff>6350</xdr:rowOff>
    </xdr:from>
    <xdr:to>
      <xdr:col>8</xdr:col>
      <xdr:colOff>304800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FC3C33-7856-49DD-A550-9E4E9A9CC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457200</xdr:colOff>
      <xdr:row>7</xdr:row>
      <xdr:rowOff>19050</xdr:rowOff>
    </xdr:from>
    <xdr:to>
      <xdr:col>12</xdr:col>
      <xdr:colOff>615949</xdr:colOff>
      <xdr:row>16</xdr:row>
      <xdr:rowOff>209550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069BA4-B7C3-4D8D-9A4B-071E4E742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69850</xdr:rowOff>
    </xdr:from>
    <xdr:ext cx="2406649" cy="736600"/>
    <xdr:pic>
      <xdr:nvPicPr>
        <xdr:cNvPr id="2" name="Picture 1">
          <a:extLst>
            <a:ext uri="{FF2B5EF4-FFF2-40B4-BE49-F238E27FC236}">
              <a16:creationId xmlns:a16="http://schemas.microsoft.com/office/drawing/2014/main" id="{C5F13EBD-CA41-4C39-B57B-A689E23CD1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69850"/>
          <a:ext cx="2406649" cy="7366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A6" workbookViewId="0">
      <selection activeCell="D15" sqref="D15"/>
    </sheetView>
  </sheetViews>
  <sheetFormatPr defaultRowHeight="14.5" x14ac:dyDescent="0.35"/>
  <cols>
    <col min="1" max="1" width="7.54296875" customWidth="1"/>
    <col min="2" max="2" width="10.6328125" customWidth="1"/>
    <col min="3" max="3" width="10.453125" customWidth="1"/>
    <col min="4" max="8" width="9.6328125" customWidth="1"/>
    <col min="9" max="9" width="10.1796875" customWidth="1"/>
    <col min="10" max="12" width="9.6328125" customWidth="1"/>
    <col min="13" max="14" width="7.6328125" customWidth="1"/>
    <col min="15" max="15" width="8.90625" customWidth="1"/>
  </cols>
  <sheetData>
    <row r="1" spans="1:15" ht="20" customHeight="1" x14ac:dyDescent="0.35">
      <c r="A1" s="35"/>
      <c r="B1" s="35"/>
      <c r="D1" s="37" t="s">
        <v>5</v>
      </c>
      <c r="E1" s="37"/>
      <c r="F1" s="37"/>
      <c r="G1" s="37"/>
      <c r="H1" s="37"/>
      <c r="I1" s="37"/>
      <c r="J1" s="7"/>
      <c r="K1" s="7"/>
      <c r="L1" s="7"/>
      <c r="M1" s="7"/>
      <c r="N1" s="7"/>
      <c r="O1" s="7"/>
    </row>
    <row r="2" spans="1:15" ht="20" customHeight="1" x14ac:dyDescent="0.35">
      <c r="A2" s="35"/>
      <c r="B2" s="35"/>
      <c r="D2" s="37" t="s">
        <v>1</v>
      </c>
      <c r="E2" s="37"/>
      <c r="F2" s="37"/>
      <c r="G2" s="37"/>
      <c r="H2" s="37"/>
      <c r="I2" s="37"/>
      <c r="J2" s="7"/>
      <c r="K2" s="7"/>
      <c r="L2" s="7"/>
      <c r="M2" s="7"/>
      <c r="N2" s="7"/>
      <c r="O2" s="7"/>
    </row>
    <row r="3" spans="1:15" ht="20" customHeight="1" x14ac:dyDescent="0.35">
      <c r="A3" s="35"/>
      <c r="B3" s="35"/>
      <c r="D3" s="37" t="s">
        <v>0</v>
      </c>
      <c r="E3" s="37"/>
      <c r="F3" s="37"/>
      <c r="G3" s="37"/>
      <c r="H3" s="37"/>
      <c r="I3" s="37"/>
      <c r="J3" s="7"/>
      <c r="K3" s="7"/>
    </row>
    <row r="4" spans="1:15" ht="30" customHeight="1" x14ac:dyDescent="0.35">
      <c r="A4" s="31" t="s">
        <v>12</v>
      </c>
      <c r="B4" s="31"/>
      <c r="C4" s="31"/>
      <c r="D4" s="31"/>
      <c r="E4" s="31"/>
      <c r="F4" s="31"/>
      <c r="G4" s="31"/>
      <c r="H4" s="31"/>
      <c r="I4" s="31"/>
      <c r="J4" s="9"/>
      <c r="K4" s="9"/>
    </row>
    <row r="5" spans="1:15" ht="26" customHeight="1" x14ac:dyDescent="0.35">
      <c r="A5" s="10" t="s">
        <v>4</v>
      </c>
      <c r="B5" s="36" t="s">
        <v>6</v>
      </c>
      <c r="C5" s="36"/>
      <c r="D5" s="36"/>
      <c r="F5" s="13" t="s">
        <v>3</v>
      </c>
      <c r="G5" s="36" t="s">
        <v>45</v>
      </c>
      <c r="H5" s="36"/>
      <c r="I5" s="36"/>
      <c r="K5" s="1"/>
    </row>
    <row r="6" spans="1:15" ht="26" customHeight="1" x14ac:dyDescent="0.35">
      <c r="A6" s="14"/>
      <c r="B6" s="14"/>
      <c r="C6" s="11"/>
      <c r="D6" s="1"/>
      <c r="F6" s="14"/>
      <c r="G6" s="14"/>
      <c r="H6" s="14"/>
      <c r="I6" s="14"/>
      <c r="J6" s="14"/>
      <c r="L6" s="8"/>
      <c r="M6" s="8"/>
      <c r="N6" s="8"/>
      <c r="O6" s="8"/>
    </row>
    <row r="7" spans="1:15" ht="24" customHeight="1" x14ac:dyDescent="0.35">
      <c r="A7" s="30" t="s">
        <v>7</v>
      </c>
      <c r="B7" s="30" t="s">
        <v>14</v>
      </c>
      <c r="C7" s="30" t="s">
        <v>8</v>
      </c>
      <c r="D7" s="34" t="s">
        <v>13</v>
      </c>
      <c r="E7" s="34"/>
      <c r="F7" s="34"/>
      <c r="G7" s="34"/>
      <c r="H7" s="34"/>
      <c r="I7" s="34"/>
      <c r="M7" s="3"/>
      <c r="N7" s="3"/>
      <c r="O7" s="3"/>
    </row>
    <row r="8" spans="1:15" ht="19.5" customHeight="1" x14ac:dyDescent="0.35">
      <c r="A8" s="30"/>
      <c r="B8" s="30"/>
      <c r="C8" s="30"/>
      <c r="D8" s="16" t="s">
        <v>9</v>
      </c>
      <c r="E8" s="16" t="s">
        <v>9</v>
      </c>
      <c r="F8" s="16" t="s">
        <v>10</v>
      </c>
      <c r="G8" s="16" t="s">
        <v>10</v>
      </c>
      <c r="H8" s="17" t="s">
        <v>11</v>
      </c>
      <c r="I8" s="17" t="s">
        <v>11</v>
      </c>
      <c r="J8" s="12"/>
      <c r="K8" s="4"/>
      <c r="L8" s="4"/>
      <c r="O8" s="4"/>
    </row>
    <row r="9" spans="1:15" ht="17" customHeight="1" x14ac:dyDescent="0.35">
      <c r="A9" s="18">
        <v>1</v>
      </c>
      <c r="B9" s="19" t="s">
        <v>15</v>
      </c>
      <c r="C9" s="19" t="s">
        <v>42</v>
      </c>
      <c r="D9" s="18">
        <v>8.5</v>
      </c>
      <c r="E9" s="18">
        <v>8.18</v>
      </c>
      <c r="F9" s="18">
        <v>8.5</v>
      </c>
      <c r="G9" s="18">
        <v>8.4600000000000009</v>
      </c>
      <c r="H9" s="18">
        <v>6.5</v>
      </c>
      <c r="I9" s="18">
        <v>6.3</v>
      </c>
    </row>
    <row r="10" spans="1:15" ht="17" customHeight="1" x14ac:dyDescent="0.35">
      <c r="A10" s="18">
        <v>2</v>
      </c>
      <c r="B10" s="19" t="s">
        <v>15</v>
      </c>
      <c r="C10" s="19" t="s">
        <v>43</v>
      </c>
      <c r="D10" s="18">
        <v>8.5</v>
      </c>
      <c r="E10" s="18">
        <v>8.23</v>
      </c>
      <c r="F10" s="18">
        <v>8.5</v>
      </c>
      <c r="G10" s="18">
        <v>8.34</v>
      </c>
      <c r="H10" s="18">
        <v>6.5</v>
      </c>
      <c r="I10" s="18">
        <v>6.17</v>
      </c>
    </row>
    <row r="11" spans="1:15" ht="17" customHeight="1" x14ac:dyDescent="0.35">
      <c r="A11" s="18">
        <v>3</v>
      </c>
      <c r="B11" s="19" t="s">
        <v>15</v>
      </c>
      <c r="C11" s="19" t="s">
        <v>44</v>
      </c>
      <c r="D11" s="18">
        <v>8.5</v>
      </c>
      <c r="E11" s="18">
        <v>8.31</v>
      </c>
      <c r="F11" s="18">
        <v>8.5</v>
      </c>
      <c r="G11" s="18">
        <v>8.4</v>
      </c>
      <c r="H11" s="18">
        <v>6.5</v>
      </c>
      <c r="I11" s="18">
        <v>6.2</v>
      </c>
    </row>
    <row r="12" spans="1:15" ht="17" customHeight="1" x14ac:dyDescent="0.35">
      <c r="A12" s="18">
        <v>4</v>
      </c>
      <c r="B12" s="29" t="s">
        <v>15</v>
      </c>
      <c r="C12" s="19" t="s">
        <v>46</v>
      </c>
      <c r="D12" s="18">
        <v>8.5</v>
      </c>
      <c r="E12" s="18">
        <v>8.4600000000000009</v>
      </c>
      <c r="F12" s="18">
        <v>8.5</v>
      </c>
      <c r="G12" s="18">
        <v>8.2799999999999994</v>
      </c>
      <c r="H12" s="18">
        <v>6.5</v>
      </c>
      <c r="I12" s="18">
        <v>6.41</v>
      </c>
    </row>
    <row r="13" spans="1:15" ht="17" customHeight="1" x14ac:dyDescent="0.35">
      <c r="A13" s="18"/>
      <c r="B13" s="19"/>
      <c r="C13" s="19"/>
      <c r="D13" s="18"/>
      <c r="E13" s="18"/>
      <c r="F13" s="18"/>
      <c r="G13" s="18"/>
      <c r="H13" s="18"/>
      <c r="I13" s="18"/>
    </row>
    <row r="14" spans="1:15" ht="17" customHeight="1" x14ac:dyDescent="0.35">
      <c r="A14" s="18"/>
      <c r="B14" s="19"/>
      <c r="C14" s="19"/>
      <c r="D14" s="18"/>
      <c r="E14" s="18"/>
      <c r="F14" s="18"/>
      <c r="G14" s="18"/>
      <c r="H14" s="18"/>
      <c r="I14" s="18"/>
    </row>
    <row r="15" spans="1:15" ht="17" customHeight="1" x14ac:dyDescent="0.35"/>
    <row r="16" spans="1:15" ht="17" customHeight="1" x14ac:dyDescent="0.35"/>
    <row r="17" spans="1:14" ht="17" customHeight="1" x14ac:dyDescent="0.35">
      <c r="A17" s="2"/>
      <c r="B17" s="2"/>
      <c r="C17" s="2"/>
      <c r="D17" s="2"/>
      <c r="E17" s="2"/>
      <c r="F17" s="2"/>
    </row>
    <row r="18" spans="1:14" ht="17" customHeight="1" x14ac:dyDescent="0.35">
      <c r="A18" s="2"/>
      <c r="B18" s="2"/>
      <c r="C18" s="2"/>
      <c r="D18" s="2"/>
      <c r="E18" s="2"/>
      <c r="F18" s="2"/>
    </row>
    <row r="19" spans="1:14" ht="17" customHeight="1" x14ac:dyDescent="0.35">
      <c r="A19" s="2"/>
      <c r="B19" s="2"/>
      <c r="C19" s="2"/>
      <c r="D19" s="2"/>
      <c r="E19" s="2"/>
      <c r="F19" s="2"/>
    </row>
    <row r="20" spans="1:14" ht="17" customHeight="1" x14ac:dyDescent="0.35">
      <c r="A20" s="2"/>
      <c r="B20" s="2"/>
      <c r="C20" s="2"/>
      <c r="D20" s="2"/>
      <c r="E20" s="2"/>
      <c r="F20" s="2"/>
    </row>
    <row r="21" spans="1:14" ht="17" customHeight="1" x14ac:dyDescent="0.35">
      <c r="A21" s="2"/>
      <c r="B21" s="2"/>
      <c r="C21" s="2"/>
      <c r="D21" s="2"/>
      <c r="E21" s="2"/>
      <c r="F21" s="2"/>
    </row>
    <row r="22" spans="1:14" ht="17" customHeight="1" x14ac:dyDescent="0.35">
      <c r="A22" s="2"/>
      <c r="B22" s="2"/>
      <c r="C22" s="2"/>
      <c r="D22" s="2"/>
      <c r="E22" s="2"/>
      <c r="F22" s="2"/>
    </row>
    <row r="23" spans="1:14" ht="17" customHeight="1" x14ac:dyDescent="0.35">
      <c r="A23" s="2"/>
      <c r="B23" s="2"/>
      <c r="C23" s="2"/>
      <c r="D23" s="2"/>
      <c r="E23" s="2"/>
      <c r="F23" s="2"/>
    </row>
    <row r="24" spans="1:14" ht="17" customHeight="1" x14ac:dyDescent="0.35">
      <c r="J24" s="2"/>
      <c r="K24" s="2"/>
      <c r="L24" s="2"/>
      <c r="M24" s="2"/>
      <c r="N24" s="2"/>
    </row>
    <row r="25" spans="1:14" ht="17" customHeight="1" x14ac:dyDescent="0.35"/>
    <row r="26" spans="1:14" ht="17" customHeight="1" x14ac:dyDescent="0.35">
      <c r="A26" s="2"/>
      <c r="B26" s="2"/>
      <c r="C26" s="2"/>
      <c r="D26" s="2"/>
      <c r="E26" s="2"/>
      <c r="F26" s="2"/>
    </row>
    <row r="27" spans="1:14" ht="17" customHeight="1" x14ac:dyDescent="0.35">
      <c r="A27" s="2"/>
      <c r="B27" s="2"/>
      <c r="C27" s="2"/>
      <c r="D27" s="2"/>
      <c r="E27" s="2"/>
      <c r="F27" s="2"/>
    </row>
    <row r="28" spans="1:14" ht="17" customHeight="1" x14ac:dyDescent="0.35">
      <c r="A28" s="2"/>
      <c r="B28" s="2"/>
      <c r="C28" s="2"/>
      <c r="D28" s="2"/>
      <c r="E28" s="2"/>
      <c r="F28" s="2"/>
    </row>
    <row r="29" spans="1:14" ht="17" customHeight="1" x14ac:dyDescent="0.35">
      <c r="A29" s="2"/>
      <c r="B29" s="2"/>
      <c r="C29" s="2"/>
      <c r="D29" s="2"/>
      <c r="E29" s="2"/>
      <c r="F29" s="2"/>
    </row>
    <row r="30" spans="1:14" ht="17" customHeight="1" x14ac:dyDescent="0.35">
      <c r="A30" s="2"/>
      <c r="B30" s="2"/>
      <c r="C30" s="2"/>
      <c r="D30" s="2"/>
      <c r="E30" s="2"/>
      <c r="F30" s="2"/>
    </row>
    <row r="31" spans="1:14" ht="17" customHeight="1" x14ac:dyDescent="0.35">
      <c r="A31" s="2"/>
      <c r="B31" s="2"/>
      <c r="C31" s="2"/>
      <c r="D31" s="2"/>
      <c r="E31" s="2"/>
      <c r="F31" s="2"/>
    </row>
    <row r="32" spans="1:14" ht="17" customHeight="1" x14ac:dyDescent="0.35">
      <c r="A32" s="2"/>
      <c r="B32" s="2"/>
      <c r="C32" s="2"/>
      <c r="D32" s="2"/>
      <c r="E32" s="2"/>
      <c r="F32" s="2"/>
    </row>
    <row r="33" spans="1:9" ht="17" customHeight="1" x14ac:dyDescent="0.35">
      <c r="A33" s="2"/>
      <c r="B33" s="2"/>
      <c r="C33" s="2"/>
      <c r="D33" s="2"/>
      <c r="E33" s="2"/>
      <c r="F33" s="2"/>
    </row>
    <row r="34" spans="1:9" ht="17" customHeight="1" x14ac:dyDescent="0.35">
      <c r="A34" s="2"/>
      <c r="B34" s="2"/>
      <c r="C34" s="2"/>
      <c r="D34" s="2"/>
      <c r="E34" s="2"/>
      <c r="F34" s="2"/>
    </row>
    <row r="35" spans="1:9" ht="17" customHeight="1" x14ac:dyDescent="0.35">
      <c r="A35" s="2"/>
      <c r="B35" s="2"/>
      <c r="C35" s="2"/>
      <c r="D35" s="2"/>
      <c r="E35" s="2"/>
      <c r="F35" s="2"/>
    </row>
    <row r="36" spans="1:9" ht="17" customHeight="1" x14ac:dyDescent="0.35">
      <c r="A36" s="2"/>
      <c r="B36" s="2"/>
      <c r="C36" s="2"/>
      <c r="D36" s="2"/>
      <c r="E36" s="2"/>
      <c r="F36" s="2"/>
    </row>
    <row r="37" spans="1:9" ht="17" customHeight="1" x14ac:dyDescent="0.35">
      <c r="A37" s="32" t="s">
        <v>18</v>
      </c>
      <c r="B37" s="32"/>
      <c r="C37" s="32"/>
      <c r="D37" s="32"/>
      <c r="E37" s="32"/>
      <c r="F37" s="32"/>
      <c r="G37" s="32"/>
      <c r="H37" s="32"/>
      <c r="I37" s="32"/>
    </row>
    <row r="38" spans="1:9" ht="17" customHeight="1" x14ac:dyDescent="0.35"/>
    <row r="39" spans="1:9" ht="26" customHeight="1" x14ac:dyDescent="0.35">
      <c r="A39" s="2"/>
      <c r="B39" s="2"/>
      <c r="C39" s="2"/>
      <c r="D39" s="2"/>
      <c r="E39" s="2"/>
      <c r="F39" s="33" t="s">
        <v>19</v>
      </c>
      <c r="G39" s="33"/>
      <c r="H39" s="33"/>
      <c r="I39" s="33"/>
    </row>
  </sheetData>
  <mergeCells count="13">
    <mergeCell ref="A1:B3"/>
    <mergeCell ref="G5:I5"/>
    <mergeCell ref="B5:D5"/>
    <mergeCell ref="D1:I1"/>
    <mergeCell ref="D2:I2"/>
    <mergeCell ref="D3:I3"/>
    <mergeCell ref="C7:C8"/>
    <mergeCell ref="A4:I4"/>
    <mergeCell ref="A37:I37"/>
    <mergeCell ref="B7:B8"/>
    <mergeCell ref="F39:I39"/>
    <mergeCell ref="D7:I7"/>
    <mergeCell ref="A7:A8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D9FF-5476-476C-A6BE-DEE928529102}">
  <dimension ref="A1:O39"/>
  <sheetViews>
    <sheetView topLeftCell="A3" workbookViewId="0">
      <selection activeCell="M6" sqref="M6"/>
    </sheetView>
  </sheetViews>
  <sheetFormatPr defaultRowHeight="14.5" x14ac:dyDescent="0.35"/>
  <cols>
    <col min="1" max="1" width="9.1796875" customWidth="1"/>
    <col min="2" max="5" width="10.1796875" customWidth="1"/>
    <col min="6" max="6" width="9.90625" customWidth="1"/>
    <col min="7" max="7" width="10.54296875" customWidth="1"/>
    <col min="8" max="8" width="11.36328125" customWidth="1"/>
    <col min="9" max="10" width="10.08984375" customWidth="1"/>
    <col min="11" max="11" width="9.6328125" customWidth="1"/>
    <col min="12" max="12" width="9.81640625" customWidth="1"/>
    <col min="13" max="13" width="9.453125" customWidth="1"/>
    <col min="14" max="14" width="7.6328125" customWidth="1"/>
    <col min="15" max="15" width="8.90625" customWidth="1"/>
  </cols>
  <sheetData>
    <row r="1" spans="1:15" ht="20" customHeight="1" x14ac:dyDescent="0.35">
      <c r="A1" s="35"/>
      <c r="B1" s="35"/>
      <c r="F1" s="37" t="s">
        <v>5</v>
      </c>
      <c r="G1" s="37"/>
      <c r="H1" s="37"/>
      <c r="I1" s="37"/>
      <c r="J1" s="37"/>
      <c r="K1" s="37"/>
      <c r="L1" s="37"/>
      <c r="M1" s="37"/>
      <c r="N1" s="7"/>
      <c r="O1" s="7"/>
    </row>
    <row r="2" spans="1:15" ht="20" customHeight="1" x14ac:dyDescent="0.35">
      <c r="A2" s="35"/>
      <c r="B2" s="35"/>
      <c r="F2" s="37" t="s">
        <v>1</v>
      </c>
      <c r="G2" s="37"/>
      <c r="H2" s="37"/>
      <c r="I2" s="37"/>
      <c r="J2" s="37"/>
      <c r="K2" s="37"/>
      <c r="L2" s="37"/>
      <c r="M2" s="37"/>
      <c r="N2" s="7"/>
      <c r="O2" s="7"/>
    </row>
    <row r="3" spans="1:15" ht="20" customHeight="1" x14ac:dyDescent="0.35">
      <c r="A3" s="35"/>
      <c r="B3" s="35"/>
      <c r="F3" s="37" t="s">
        <v>0</v>
      </c>
      <c r="G3" s="37"/>
      <c r="H3" s="37"/>
      <c r="I3" s="37"/>
      <c r="J3" s="37"/>
      <c r="K3" s="37"/>
      <c r="L3" s="37"/>
      <c r="M3" s="37"/>
      <c r="N3" s="7"/>
      <c r="O3" s="7"/>
    </row>
    <row r="4" spans="1:15" ht="30" customHeight="1" x14ac:dyDescent="0.35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5" ht="26" customHeight="1" x14ac:dyDescent="0.35">
      <c r="A5" s="14" t="s">
        <v>4</v>
      </c>
      <c r="B5" s="38" t="s">
        <v>6</v>
      </c>
      <c r="C5" s="38"/>
      <c r="D5" s="38"/>
      <c r="J5" s="20" t="s">
        <v>3</v>
      </c>
      <c r="K5" s="38" t="s">
        <v>45</v>
      </c>
      <c r="L5" s="38"/>
      <c r="M5" s="38"/>
      <c r="N5" s="1"/>
      <c r="O5" s="1"/>
    </row>
    <row r="6" spans="1:15" ht="26" customHeight="1" x14ac:dyDescent="0.35">
      <c r="A6" s="14"/>
      <c r="B6" s="14"/>
      <c r="C6" s="11"/>
      <c r="D6" s="1"/>
      <c r="F6" s="14"/>
      <c r="G6" s="14"/>
      <c r="H6" s="14"/>
      <c r="I6" s="14"/>
      <c r="J6" s="14"/>
    </row>
    <row r="7" spans="1:15" ht="17" customHeight="1" x14ac:dyDescent="0.35">
      <c r="A7" s="15"/>
      <c r="B7" s="15"/>
      <c r="C7" s="15"/>
      <c r="D7" s="15"/>
      <c r="E7" s="15"/>
      <c r="F7" s="15"/>
      <c r="G7" s="3"/>
      <c r="L7" s="3"/>
      <c r="M7" s="3"/>
      <c r="N7" s="3"/>
      <c r="O7" s="3"/>
    </row>
    <row r="8" spans="1:15" ht="17" customHeight="1" x14ac:dyDescent="0.35">
      <c r="A8" s="12"/>
      <c r="B8" s="15"/>
      <c r="C8" s="12"/>
      <c r="D8" s="12"/>
      <c r="E8" s="12"/>
      <c r="F8" s="12"/>
      <c r="G8" s="12"/>
      <c r="H8" s="12"/>
      <c r="I8" s="12"/>
    </row>
    <row r="9" spans="1:15" ht="17" customHeight="1" x14ac:dyDescent="0.35">
      <c r="A9" s="12"/>
      <c r="B9" s="15"/>
      <c r="C9" s="12"/>
      <c r="D9" s="12"/>
      <c r="E9" s="12"/>
      <c r="F9" s="12"/>
      <c r="G9" s="12"/>
      <c r="H9" s="12"/>
      <c r="I9" s="12"/>
      <c r="J9" s="12"/>
      <c r="K9" s="5"/>
      <c r="L9" s="5"/>
      <c r="M9" s="5"/>
      <c r="N9" s="6"/>
      <c r="O9" s="5"/>
    </row>
    <row r="10" spans="1:15" ht="17" customHeight="1" x14ac:dyDescent="0.35">
      <c r="A10" s="12"/>
      <c r="B10" s="15"/>
      <c r="C10" s="12"/>
      <c r="D10" s="12"/>
      <c r="E10" s="12"/>
      <c r="F10" s="12"/>
      <c r="G10" s="12"/>
      <c r="H10" s="12"/>
      <c r="I10" s="12"/>
      <c r="J10" s="12"/>
      <c r="K10" s="5"/>
      <c r="L10" s="5"/>
      <c r="M10" s="5"/>
      <c r="N10" s="6"/>
      <c r="O10" s="5"/>
    </row>
    <row r="11" spans="1:15" ht="17" customHeight="1" x14ac:dyDescent="0.35">
      <c r="A11" s="12"/>
      <c r="B11" s="15"/>
      <c r="C11" s="12"/>
      <c r="D11" s="12"/>
      <c r="E11" s="12"/>
      <c r="F11" s="12"/>
      <c r="G11" s="12"/>
      <c r="H11" s="12"/>
      <c r="I11" s="12"/>
      <c r="J11" s="12"/>
      <c r="K11" s="5"/>
      <c r="L11" s="5"/>
      <c r="M11" s="5"/>
      <c r="N11" s="6"/>
      <c r="O11" s="5"/>
    </row>
    <row r="12" spans="1:15" ht="17" customHeight="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5"/>
      <c r="L12" s="5"/>
      <c r="M12" s="5"/>
      <c r="N12" s="6"/>
      <c r="O12" s="5"/>
    </row>
    <row r="13" spans="1:15" ht="17" customHeight="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5" ht="17" customHeight="1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5" ht="17" customHeight="1" x14ac:dyDescent="0.35">
      <c r="K15" s="2"/>
      <c r="L15" s="2"/>
      <c r="M15" s="2"/>
      <c r="N15" s="2"/>
      <c r="O15" s="2"/>
    </row>
    <row r="16" spans="1:15" ht="17" customHeight="1" x14ac:dyDescent="0.35">
      <c r="K16" s="2"/>
    </row>
    <row r="17" spans="1:14" ht="17" customHeight="1" x14ac:dyDescent="0.35">
      <c r="A17" s="2"/>
      <c r="B17" s="2"/>
      <c r="C17" s="2"/>
      <c r="D17" s="2"/>
      <c r="E17" s="2"/>
      <c r="F17" s="2"/>
    </row>
    <row r="18" spans="1:14" ht="17" customHeight="1" x14ac:dyDescent="0.35">
      <c r="A18" s="2"/>
      <c r="B18" s="2"/>
      <c r="C18" s="2"/>
      <c r="D18" s="2"/>
      <c r="E18" s="2"/>
      <c r="F18" s="2"/>
    </row>
    <row r="19" spans="1:14" ht="17" customHeight="1" x14ac:dyDescent="0.35">
      <c r="A19" s="2"/>
      <c r="B19" s="2"/>
      <c r="C19" s="2"/>
      <c r="D19" s="2"/>
      <c r="E19" s="2"/>
      <c r="F19" s="2"/>
    </row>
    <row r="20" spans="1:14" ht="17" customHeight="1" x14ac:dyDescent="0.35">
      <c r="A20" s="2"/>
      <c r="B20" s="2"/>
      <c r="C20" s="2"/>
      <c r="D20" s="2"/>
      <c r="E20" s="2"/>
      <c r="F20" s="2"/>
    </row>
    <row r="21" spans="1:14" ht="17" customHeight="1" x14ac:dyDescent="0.35">
      <c r="A21" s="2"/>
      <c r="B21" s="2"/>
      <c r="C21" s="2"/>
      <c r="D21" s="2"/>
      <c r="E21" s="2"/>
      <c r="F21" s="2"/>
    </row>
    <row r="22" spans="1:14" ht="17" customHeight="1" x14ac:dyDescent="0.35">
      <c r="A22" s="2"/>
      <c r="B22" s="2"/>
      <c r="C22" s="2"/>
      <c r="D22" s="2"/>
      <c r="E22" s="2"/>
      <c r="F22" s="2"/>
    </row>
    <row r="23" spans="1:14" ht="17" customHeight="1" x14ac:dyDescent="0.35">
      <c r="A23" s="32" t="s">
        <v>16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spans="1:14" ht="17" customHeight="1" x14ac:dyDescent="0.35">
      <c r="N24" s="2"/>
    </row>
    <row r="25" spans="1:14" ht="27" customHeight="1" x14ac:dyDescent="0.35">
      <c r="A25" s="2"/>
      <c r="B25" s="2"/>
      <c r="C25" s="2"/>
      <c r="D25" s="2"/>
      <c r="E25" s="2"/>
      <c r="F25" s="2"/>
      <c r="I25" s="33" t="s">
        <v>17</v>
      </c>
      <c r="J25" s="33"/>
      <c r="K25" s="33"/>
      <c r="L25" s="33"/>
      <c r="M25" s="33"/>
    </row>
    <row r="26" spans="1:14" ht="17" customHeight="1" x14ac:dyDescent="0.35">
      <c r="A26" s="2"/>
      <c r="B26" s="2"/>
      <c r="C26" s="2"/>
      <c r="D26" s="2"/>
      <c r="E26" s="2"/>
      <c r="F26" s="2"/>
    </row>
    <row r="27" spans="1:14" ht="17" customHeight="1" x14ac:dyDescent="0.35">
      <c r="A27" s="2"/>
      <c r="B27" s="2"/>
      <c r="C27" s="2"/>
      <c r="D27" s="2"/>
      <c r="E27" s="2"/>
      <c r="F27" s="2"/>
    </row>
    <row r="28" spans="1:14" ht="17" customHeight="1" x14ac:dyDescent="0.35">
      <c r="A28" s="2"/>
      <c r="B28" s="2"/>
      <c r="C28" s="2"/>
      <c r="D28" s="2"/>
      <c r="E28" s="2"/>
      <c r="F28" s="2"/>
    </row>
    <row r="29" spans="1:14" ht="17" customHeight="1" x14ac:dyDescent="0.35">
      <c r="A29" s="2"/>
      <c r="B29" s="2"/>
      <c r="C29" s="2"/>
      <c r="D29" s="2"/>
      <c r="E29" s="2"/>
      <c r="F29" s="2"/>
    </row>
    <row r="30" spans="1:14" ht="17" customHeight="1" x14ac:dyDescent="0.35">
      <c r="A30" s="2"/>
      <c r="B30" s="2"/>
      <c r="C30" s="2"/>
      <c r="D30" s="2"/>
      <c r="E30" s="2"/>
      <c r="F30" s="2"/>
    </row>
    <row r="31" spans="1:14" ht="17" customHeight="1" x14ac:dyDescent="0.35">
      <c r="A31" s="2"/>
      <c r="B31" s="2"/>
      <c r="C31" s="2"/>
      <c r="D31" s="2"/>
      <c r="E31" s="2"/>
      <c r="F31" s="2"/>
    </row>
    <row r="32" spans="1:14" ht="17" customHeight="1" x14ac:dyDescent="0.35">
      <c r="A32" s="2"/>
      <c r="B32" s="2"/>
      <c r="C32" s="2"/>
      <c r="D32" s="2"/>
      <c r="E32" s="2"/>
      <c r="F32" s="2"/>
    </row>
    <row r="33" spans="1:6" ht="17" customHeight="1" x14ac:dyDescent="0.35">
      <c r="A33" s="2"/>
      <c r="B33" s="2"/>
      <c r="C33" s="2"/>
      <c r="D33" s="2"/>
      <c r="E33" s="2"/>
      <c r="F33" s="2"/>
    </row>
    <row r="34" spans="1:6" ht="17" customHeight="1" x14ac:dyDescent="0.35">
      <c r="A34" s="2"/>
      <c r="B34" s="2"/>
      <c r="C34" s="2"/>
      <c r="D34" s="2"/>
      <c r="E34" s="2"/>
      <c r="F34" s="2"/>
    </row>
    <row r="35" spans="1:6" ht="17" customHeight="1" x14ac:dyDescent="0.35">
      <c r="A35" s="2"/>
      <c r="B35" s="2"/>
      <c r="C35" s="2"/>
      <c r="D35" s="2"/>
      <c r="E35" s="2"/>
      <c r="F35" s="2"/>
    </row>
    <row r="36" spans="1:6" ht="17" customHeight="1" x14ac:dyDescent="0.35">
      <c r="A36" s="2"/>
      <c r="B36" s="2"/>
      <c r="C36" s="2"/>
      <c r="D36" s="2"/>
      <c r="E36" s="2"/>
      <c r="F36" s="2"/>
    </row>
    <row r="37" spans="1:6" ht="17" customHeight="1" x14ac:dyDescent="0.35">
      <c r="A37" s="2"/>
      <c r="B37" s="2"/>
      <c r="C37" s="2"/>
      <c r="D37" s="2"/>
      <c r="E37" s="2"/>
      <c r="F37" s="2"/>
    </row>
    <row r="38" spans="1:6" ht="17" customHeight="1" x14ac:dyDescent="0.35">
      <c r="A38" s="2"/>
      <c r="B38" s="2"/>
      <c r="C38" s="2"/>
      <c r="D38" s="2"/>
      <c r="E38" s="2"/>
      <c r="F38" s="2"/>
    </row>
    <row r="39" spans="1:6" ht="17" customHeight="1" x14ac:dyDescent="0.35">
      <c r="A39" s="2"/>
      <c r="B39" s="2"/>
      <c r="C39" s="2"/>
      <c r="D39" s="2"/>
      <c r="E39" s="2"/>
      <c r="F39" s="2"/>
    </row>
  </sheetData>
  <mergeCells count="9">
    <mergeCell ref="A23:M23"/>
    <mergeCell ref="I25:M25"/>
    <mergeCell ref="A4:M4"/>
    <mergeCell ref="A1:B3"/>
    <mergeCell ref="F1:M1"/>
    <mergeCell ref="F2:M2"/>
    <mergeCell ref="F3:M3"/>
    <mergeCell ref="B5:D5"/>
    <mergeCell ref="K5:M5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498-8BC6-483D-8835-13B61C7EED69}">
  <dimension ref="A1:I22"/>
  <sheetViews>
    <sheetView topLeftCell="A11" workbookViewId="0">
      <selection activeCell="J20" sqref="J20"/>
    </sheetView>
  </sheetViews>
  <sheetFormatPr defaultColWidth="8.81640625" defaultRowHeight="14" x14ac:dyDescent="0.3"/>
  <cols>
    <col min="1" max="1" width="6.08984375" style="21" customWidth="1"/>
    <col min="2" max="2" width="14.1796875" style="21" customWidth="1"/>
    <col min="3" max="3" width="8.1796875" style="21" customWidth="1"/>
    <col min="4" max="4" width="7.6328125" style="21" customWidth="1"/>
    <col min="5" max="5" width="12.453125" style="21" customWidth="1"/>
    <col min="6" max="6" width="11.90625" style="21" customWidth="1"/>
    <col min="7" max="7" width="10.81640625" style="21" customWidth="1"/>
    <col min="8" max="8" width="9.54296875" style="21" customWidth="1"/>
    <col min="9" max="9" width="9.26953125" style="21" customWidth="1"/>
    <col min="10" max="16384" width="8.81640625" style="21"/>
  </cols>
  <sheetData>
    <row r="1" spans="1:9" ht="27" customHeight="1" x14ac:dyDescent="0.3">
      <c r="A1" s="35"/>
      <c r="B1" s="35"/>
      <c r="D1" s="37" t="s">
        <v>5</v>
      </c>
      <c r="E1" s="37"/>
      <c r="F1" s="37"/>
      <c r="G1" s="37"/>
      <c r="H1" s="37"/>
      <c r="I1" s="37"/>
    </row>
    <row r="2" spans="1:9" ht="25" customHeight="1" x14ac:dyDescent="0.3">
      <c r="A2" s="35"/>
      <c r="B2" s="35"/>
      <c r="D2" s="37" t="s">
        <v>1</v>
      </c>
      <c r="E2" s="37"/>
      <c r="F2" s="37"/>
      <c r="G2" s="37"/>
      <c r="H2" s="37"/>
      <c r="I2" s="37"/>
    </row>
    <row r="3" spans="1:9" ht="25.5" customHeight="1" x14ac:dyDescent="0.3">
      <c r="A3" s="35"/>
      <c r="B3" s="35"/>
      <c r="D3" s="37" t="s">
        <v>0</v>
      </c>
      <c r="E3" s="37"/>
      <c r="F3" s="37"/>
      <c r="G3" s="37"/>
      <c r="H3" s="37"/>
      <c r="I3" s="37"/>
    </row>
    <row r="4" spans="1:9" ht="28.5" customHeight="1" x14ac:dyDescent="0.3">
      <c r="A4" s="42" t="s">
        <v>29</v>
      </c>
      <c r="B4" s="42"/>
      <c r="C4" s="42"/>
      <c r="D4" s="42"/>
      <c r="E4" s="42"/>
      <c r="F4" s="42"/>
      <c r="G4" s="42"/>
      <c r="H4" s="42"/>
      <c r="I4" s="42"/>
    </row>
    <row r="5" spans="1:9" ht="35" customHeight="1" x14ac:dyDescent="0.3">
      <c r="B5" s="30" t="s">
        <v>27</v>
      </c>
      <c r="C5" s="30"/>
      <c r="D5" s="16" t="s">
        <v>30</v>
      </c>
      <c r="E5" s="16" t="s">
        <v>33</v>
      </c>
      <c r="F5" s="24" t="s">
        <v>32</v>
      </c>
      <c r="G5" s="16" t="s">
        <v>34</v>
      </c>
      <c r="H5" s="16" t="s">
        <v>31</v>
      </c>
    </row>
    <row r="6" spans="1:9" ht="24.5" customHeight="1" x14ac:dyDescent="0.3">
      <c r="B6" s="30" t="s">
        <v>28</v>
      </c>
      <c r="C6" s="30"/>
      <c r="D6" s="25">
        <v>0.15</v>
      </c>
      <c r="E6" s="25">
        <v>0.1</v>
      </c>
      <c r="F6" s="25">
        <v>0.06</v>
      </c>
      <c r="G6" s="25">
        <v>0.05</v>
      </c>
      <c r="H6" s="25">
        <v>0.03</v>
      </c>
    </row>
    <row r="7" spans="1:9" ht="39.5" customHeight="1" x14ac:dyDescent="0.3">
      <c r="A7" s="22"/>
      <c r="B7" s="22"/>
      <c r="C7" s="22"/>
      <c r="D7" s="22"/>
      <c r="E7" s="44" t="s">
        <v>22</v>
      </c>
      <c r="F7" s="44"/>
      <c r="G7" s="19"/>
      <c r="H7" s="44" t="s">
        <v>23</v>
      </c>
      <c r="I7" s="44"/>
    </row>
    <row r="8" spans="1:9" ht="44.5" customHeight="1" x14ac:dyDescent="0.3">
      <c r="A8" s="19" t="s">
        <v>20</v>
      </c>
      <c r="B8" s="19" t="s">
        <v>21</v>
      </c>
      <c r="C8" s="43" t="s">
        <v>13</v>
      </c>
      <c r="D8" s="43"/>
      <c r="E8" s="19" t="s">
        <v>24</v>
      </c>
      <c r="F8" s="19" t="s">
        <v>25</v>
      </c>
      <c r="G8" s="45" t="s">
        <v>26</v>
      </c>
      <c r="H8" s="45" t="s">
        <v>24</v>
      </c>
      <c r="I8" s="45" t="s">
        <v>25</v>
      </c>
    </row>
    <row r="9" spans="1:9" ht="31" customHeight="1" x14ac:dyDescent="0.3">
      <c r="A9" s="23">
        <v>1</v>
      </c>
      <c r="B9" s="23" t="s">
        <v>35</v>
      </c>
      <c r="C9" s="26">
        <v>8</v>
      </c>
      <c r="D9" s="23" t="s">
        <v>38</v>
      </c>
      <c r="E9" s="27">
        <f>C9-C9*10/100</f>
        <v>7.2</v>
      </c>
      <c r="F9" s="27">
        <f>C9+C9*10/100</f>
        <v>8.8000000000000007</v>
      </c>
      <c r="G9" s="23">
        <v>0.66</v>
      </c>
      <c r="H9" s="28">
        <f>E9+G9</f>
        <v>7.86</v>
      </c>
      <c r="I9" s="28">
        <f>F9-G9</f>
        <v>8.14</v>
      </c>
    </row>
    <row r="10" spans="1:9" ht="28.5" customHeight="1" x14ac:dyDescent="0.3">
      <c r="A10" s="23">
        <v>2</v>
      </c>
      <c r="B10" s="23" t="s">
        <v>36</v>
      </c>
      <c r="C10" s="26">
        <v>8</v>
      </c>
      <c r="D10" s="23" t="s">
        <v>38</v>
      </c>
      <c r="E10" s="27">
        <f t="shared" ref="E10:E11" si="0">C10-C10*10/100</f>
        <v>7.2</v>
      </c>
      <c r="F10" s="27">
        <f t="shared" ref="F10:F11" si="1">C10+C10*10/100</f>
        <v>8.8000000000000007</v>
      </c>
      <c r="G10" s="27">
        <v>0.63</v>
      </c>
      <c r="H10" s="28">
        <f t="shared" ref="H10:H11" si="2">E10+G10</f>
        <v>7.83</v>
      </c>
      <c r="I10" s="28">
        <f t="shared" ref="I10:I11" si="3">F10-G10</f>
        <v>8.17</v>
      </c>
    </row>
    <row r="11" spans="1:9" ht="30" customHeight="1" x14ac:dyDescent="0.3">
      <c r="A11" s="23">
        <v>3</v>
      </c>
      <c r="B11" s="23" t="s">
        <v>37</v>
      </c>
      <c r="C11" s="26">
        <v>6</v>
      </c>
      <c r="D11" s="23" t="s">
        <v>38</v>
      </c>
      <c r="E11" s="27">
        <f t="shared" si="0"/>
        <v>5.4</v>
      </c>
      <c r="F11" s="27">
        <f t="shared" si="1"/>
        <v>6.6</v>
      </c>
      <c r="G11" s="23">
        <v>0.59</v>
      </c>
      <c r="H11" s="28">
        <f t="shared" si="2"/>
        <v>5.99</v>
      </c>
      <c r="I11" s="28">
        <f t="shared" si="3"/>
        <v>6.01</v>
      </c>
    </row>
    <row r="12" spans="1:9" ht="35" customHeight="1" x14ac:dyDescent="0.3">
      <c r="A12" s="18"/>
      <c r="B12" s="18"/>
      <c r="C12" s="18"/>
      <c r="D12" s="18"/>
      <c r="E12" s="18"/>
      <c r="F12" s="18"/>
      <c r="G12" s="18"/>
      <c r="H12" s="18"/>
      <c r="I12" s="18"/>
    </row>
    <row r="20" spans="1:8" ht="45" customHeight="1" x14ac:dyDescent="0.3">
      <c r="A20" s="40" t="s">
        <v>47</v>
      </c>
      <c r="B20" s="40"/>
      <c r="C20" s="40"/>
      <c r="D20" s="40"/>
      <c r="F20" s="40" t="s">
        <v>48</v>
      </c>
      <c r="G20" s="40"/>
      <c r="H20" s="40"/>
    </row>
    <row r="21" spans="1:8" ht="85" customHeight="1" x14ac:dyDescent="0.3">
      <c r="A21" s="41" t="s">
        <v>39</v>
      </c>
      <c r="B21" s="41"/>
      <c r="C21" s="41"/>
      <c r="D21" s="41"/>
      <c r="F21" s="41" t="s">
        <v>39</v>
      </c>
      <c r="G21" s="41"/>
      <c r="H21" s="41"/>
    </row>
    <row r="22" spans="1:8" ht="28" customHeight="1" x14ac:dyDescent="0.3">
      <c r="A22" s="39" t="s">
        <v>40</v>
      </c>
      <c r="B22" s="39"/>
      <c r="C22" s="39"/>
      <c r="D22" s="39"/>
      <c r="F22" s="39" t="s">
        <v>41</v>
      </c>
      <c r="G22" s="39"/>
      <c r="H22" s="39"/>
    </row>
  </sheetData>
  <mergeCells count="16">
    <mergeCell ref="C8:D8"/>
    <mergeCell ref="E7:F7"/>
    <mergeCell ref="H7:I7"/>
    <mergeCell ref="B5:C5"/>
    <mergeCell ref="B6:C6"/>
    <mergeCell ref="A1:B3"/>
    <mergeCell ref="D1:I1"/>
    <mergeCell ref="D2:I2"/>
    <mergeCell ref="D3:I3"/>
    <mergeCell ref="A4:I4"/>
    <mergeCell ref="F22:H22"/>
    <mergeCell ref="A22:D22"/>
    <mergeCell ref="F20:H20"/>
    <mergeCell ref="A20:D20"/>
    <mergeCell ref="F21:H21"/>
    <mergeCell ref="A21:D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(QC) Data Sheet</vt:lpstr>
      <vt:lpstr>Quality Control Chart</vt:lpstr>
      <vt:lpstr>Decision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2025-01-08T10:04:10Z</cp:lastPrinted>
  <dcterms:created xsi:type="dcterms:W3CDTF">2015-06-05T18:17:20Z</dcterms:created>
  <dcterms:modified xsi:type="dcterms:W3CDTF">2025-01-08T10:04:16Z</dcterms:modified>
</cp:coreProperties>
</file>