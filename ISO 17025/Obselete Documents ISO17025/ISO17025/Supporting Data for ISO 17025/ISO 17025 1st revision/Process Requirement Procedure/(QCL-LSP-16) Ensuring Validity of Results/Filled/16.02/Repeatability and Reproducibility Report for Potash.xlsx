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570E90F8-0A0D-4BDB-B631-705526F7B63B}" xr6:coauthVersionLast="45" xr6:coauthVersionMax="47" xr10:uidLastSave="{00000000-0000-0000-0000-000000000000}"/>
  <bookViews>
    <workbookView xWindow="190" yWindow="0" windowWidth="19010" windowHeight="1020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Budget'!$B$50:$B$52</definedName>
    <definedName name="B">'Uncertainty Budget'!$C$50:$C$51</definedName>
  </definedNames>
  <calcPr calcId="191029"/>
</workbook>
</file>

<file path=xl/calcChain.xml><?xml version="1.0" encoding="utf-8"?>
<calcChain xmlns="http://schemas.openxmlformats.org/spreadsheetml/2006/main">
  <c r="C29" i="1" l="1"/>
  <c r="C28" i="1"/>
  <c r="E30" i="1"/>
  <c r="C30" i="1"/>
  <c r="E26" i="1"/>
  <c r="E25" i="1"/>
  <c r="E29" i="1" l="1"/>
  <c r="E28" i="1"/>
  <c r="C26" i="1" l="1"/>
  <c r="C25" i="1"/>
</calcChain>
</file>

<file path=xl/sharedStrings.xml><?xml version="1.0" encoding="utf-8"?>
<sst xmlns="http://schemas.openxmlformats.org/spreadsheetml/2006/main" count="20" uniqueCount="19">
  <si>
    <t>S/N</t>
  </si>
  <si>
    <t>Analyst 1</t>
  </si>
  <si>
    <t>Analyst 2</t>
  </si>
  <si>
    <t>Average</t>
  </si>
  <si>
    <t>SU</t>
  </si>
  <si>
    <t>X Estimate:</t>
  </si>
  <si>
    <t>A</t>
  </si>
  <si>
    <t xml:space="preserve">B </t>
  </si>
  <si>
    <t>B</t>
  </si>
  <si>
    <t>Reproducibility</t>
  </si>
  <si>
    <t>MAX Value</t>
  </si>
  <si>
    <t>Min Value</t>
  </si>
  <si>
    <t>Repeatability</t>
  </si>
  <si>
    <t>Grand Mean</t>
  </si>
  <si>
    <t>Method Reference SFRI Guide-2021(p16-17)</t>
  </si>
  <si>
    <t>Repeatability and Reproducibility Report</t>
  </si>
  <si>
    <t xml:space="preserve">Doc Code: LSP-FRM-16.02
Issue Date: 01-01-2024
Revision Date: </t>
  </si>
  <si>
    <t>Date of Performance 1-1-2024</t>
  </si>
  <si>
    <t>Test Title: Potash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</si>
</sst>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6" fontId="0" fillId="0" borderId="0" xfId="0" applyNumberForma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167" fontId="0" fillId="0" borderId="0" xfId="0" applyNumberFormat="1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 vertical="center" wrapText="1"/>
    </xf>
    <xf numFmtId="168" fontId="0" fillId="0" borderId="0" xfId="0" applyNumberForma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 wrapText="1"/>
    </xf>
    <xf numFmtId="169" fontId="0" fillId="0" borderId="0" xfId="0" applyNumberForma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8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zoomScale="90" zoomScaleNormal="90" workbookViewId="0">
      <selection activeCell="B5" sqref="B5:C5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4"/>
  </cols>
  <sheetData>
    <row r="1" spans="2:9" ht="14.5" customHeight="1" x14ac:dyDescent="0.35">
      <c r="B1" s="22" t="s">
        <v>16</v>
      </c>
      <c r="C1" s="22"/>
      <c r="D1" s="30" t="s">
        <v>15</v>
      </c>
      <c r="E1" s="30"/>
      <c r="F1" s="30"/>
      <c r="G1" s="30"/>
      <c r="H1" s="30"/>
      <c r="I1" s="16"/>
    </row>
    <row r="2" spans="2:9" ht="14.5" customHeight="1" x14ac:dyDescent="0.35">
      <c r="B2" s="22"/>
      <c r="C2" s="22"/>
      <c r="D2" s="30"/>
      <c r="E2" s="30"/>
      <c r="F2" s="30"/>
      <c r="G2" s="30"/>
      <c r="H2" s="30"/>
      <c r="I2" s="16"/>
    </row>
    <row r="3" spans="2:9" ht="14.5" customHeight="1" x14ac:dyDescent="0.35">
      <c r="B3" s="22"/>
      <c r="C3" s="22"/>
      <c r="D3" s="30"/>
      <c r="E3" s="30"/>
      <c r="F3" s="30"/>
      <c r="G3" s="30"/>
      <c r="H3" s="30"/>
      <c r="I3" s="16"/>
    </row>
    <row r="4" spans="2:9" ht="15.75" customHeight="1" x14ac:dyDescent="0.35">
      <c r="C4" s="14"/>
    </row>
    <row r="5" spans="2:9" x14ac:dyDescent="0.35">
      <c r="B5" s="23" t="s">
        <v>18</v>
      </c>
      <c r="C5" s="24"/>
      <c r="D5" s="26"/>
      <c r="E5" s="26"/>
      <c r="F5" s="26"/>
      <c r="G5" s="26"/>
      <c r="H5" s="26"/>
      <c r="I5" s="15"/>
    </row>
    <row r="6" spans="2:9" ht="29" customHeight="1" x14ac:dyDescent="0.35">
      <c r="B6" s="23" t="s">
        <v>17</v>
      </c>
      <c r="C6" s="25"/>
      <c r="D6" s="27"/>
      <c r="E6" s="26"/>
      <c r="F6" s="26"/>
      <c r="G6" s="26"/>
      <c r="H6" s="26"/>
      <c r="I6" s="15"/>
    </row>
    <row r="7" spans="2:9" ht="14.5" customHeight="1" x14ac:dyDescent="0.35">
      <c r="B7" s="31" t="s">
        <v>14</v>
      </c>
      <c r="C7" s="32"/>
      <c r="D7" s="32"/>
      <c r="E7" s="15"/>
      <c r="F7" s="15"/>
      <c r="G7" s="15"/>
      <c r="H7" s="15"/>
      <c r="I7" s="15"/>
    </row>
    <row r="9" spans="2:9" x14ac:dyDescent="0.35">
      <c r="B9" s="5" t="s">
        <v>0</v>
      </c>
      <c r="C9" s="21" t="s">
        <v>1</v>
      </c>
      <c r="D9" s="21"/>
      <c r="E9" s="21" t="s">
        <v>2</v>
      </c>
      <c r="F9" s="29"/>
      <c r="G9" s="28"/>
      <c r="H9" s="28"/>
    </row>
    <row r="10" spans="2:9" x14ac:dyDescent="0.35">
      <c r="B10" s="3">
        <v>1</v>
      </c>
      <c r="C10" s="18">
        <v>6.45</v>
      </c>
      <c r="D10" s="18"/>
      <c r="E10" s="18">
        <v>6.58</v>
      </c>
      <c r="F10" s="19"/>
      <c r="G10" s="17"/>
      <c r="H10" s="17"/>
    </row>
    <row r="11" spans="2:9" x14ac:dyDescent="0.35">
      <c r="B11" s="3">
        <v>2</v>
      </c>
      <c r="C11" s="18">
        <v>6.53</v>
      </c>
      <c r="D11" s="18"/>
      <c r="E11" s="18">
        <v>6.49</v>
      </c>
      <c r="F11" s="19"/>
      <c r="G11" s="17"/>
      <c r="H11" s="17"/>
    </row>
    <row r="12" spans="2:9" x14ac:dyDescent="0.35">
      <c r="B12" s="3">
        <v>3</v>
      </c>
      <c r="C12" s="18">
        <v>6.58</v>
      </c>
      <c r="D12" s="18"/>
      <c r="E12" s="18">
        <v>6.45</v>
      </c>
      <c r="F12" s="19"/>
      <c r="G12" s="17"/>
      <c r="H12" s="17"/>
    </row>
    <row r="13" spans="2:9" x14ac:dyDescent="0.35">
      <c r="B13" s="3">
        <v>4</v>
      </c>
      <c r="C13" s="18">
        <v>6.34</v>
      </c>
      <c r="D13" s="18"/>
      <c r="E13" s="18">
        <v>6.48</v>
      </c>
      <c r="F13" s="19"/>
      <c r="G13" s="17"/>
      <c r="H13" s="17"/>
    </row>
    <row r="14" spans="2:9" x14ac:dyDescent="0.35">
      <c r="B14" s="3">
        <v>5</v>
      </c>
      <c r="C14" s="18">
        <v>6.45</v>
      </c>
      <c r="D14" s="18"/>
      <c r="E14" s="18">
        <v>6.58</v>
      </c>
      <c r="F14" s="19"/>
      <c r="G14" s="17"/>
      <c r="H14" s="17"/>
    </row>
    <row r="15" spans="2:9" x14ac:dyDescent="0.35">
      <c r="B15" s="3">
        <v>6</v>
      </c>
      <c r="C15" s="18">
        <v>6.58</v>
      </c>
      <c r="D15" s="18"/>
      <c r="E15" s="18">
        <v>6.48</v>
      </c>
      <c r="F15" s="19"/>
      <c r="G15" s="17"/>
      <c r="H15" s="17"/>
    </row>
    <row r="16" spans="2:9" x14ac:dyDescent="0.35">
      <c r="B16" s="3">
        <v>7</v>
      </c>
      <c r="C16" s="18"/>
      <c r="D16" s="18"/>
      <c r="E16" s="18"/>
      <c r="F16" s="19"/>
      <c r="G16" s="17"/>
      <c r="H16" s="17"/>
    </row>
    <row r="17" spans="1:12" x14ac:dyDescent="0.35">
      <c r="B17" s="3">
        <v>8</v>
      </c>
      <c r="C17" s="18"/>
      <c r="D17" s="18"/>
      <c r="E17" s="18"/>
      <c r="F17" s="19"/>
      <c r="G17" s="17"/>
      <c r="H17" s="17"/>
    </row>
    <row r="18" spans="1:12" x14ac:dyDescent="0.35">
      <c r="B18" s="3">
        <v>9</v>
      </c>
      <c r="C18" s="18"/>
      <c r="D18" s="18"/>
      <c r="E18" s="18"/>
      <c r="F18" s="19"/>
      <c r="G18" s="17"/>
      <c r="H18" s="17"/>
      <c r="L18" s="2"/>
    </row>
    <row r="19" spans="1:12" x14ac:dyDescent="0.35">
      <c r="B19" s="3">
        <v>10</v>
      </c>
      <c r="C19" s="18"/>
      <c r="D19" s="18"/>
      <c r="E19" s="18"/>
      <c r="F19" s="19"/>
      <c r="G19" s="17"/>
      <c r="H19" s="17"/>
    </row>
    <row r="20" spans="1:12" x14ac:dyDescent="0.35">
      <c r="B20" s="3">
        <v>11</v>
      </c>
      <c r="C20" s="18"/>
      <c r="D20" s="18"/>
      <c r="E20" s="18"/>
      <c r="F20" s="19"/>
      <c r="G20" s="17"/>
      <c r="H20" s="17"/>
    </row>
    <row r="21" spans="1:12" x14ac:dyDescent="0.35">
      <c r="B21" s="3">
        <v>12</v>
      </c>
      <c r="C21" s="18"/>
      <c r="D21" s="18"/>
      <c r="E21" s="18"/>
      <c r="F21" s="19"/>
      <c r="G21" s="17"/>
      <c r="H21" s="17"/>
    </row>
    <row r="22" spans="1:12" x14ac:dyDescent="0.35">
      <c r="B22" s="3">
        <v>13</v>
      </c>
      <c r="C22" s="18"/>
      <c r="D22" s="18"/>
      <c r="E22" s="18"/>
      <c r="F22" s="19"/>
      <c r="G22" s="17"/>
      <c r="H22" s="17"/>
    </row>
    <row r="23" spans="1:12" x14ac:dyDescent="0.35">
      <c r="B23" s="3">
        <v>14</v>
      </c>
      <c r="C23" s="18"/>
      <c r="D23" s="18"/>
      <c r="E23" s="18"/>
      <c r="F23" s="19"/>
      <c r="G23" s="17"/>
      <c r="H23" s="17"/>
    </row>
    <row r="24" spans="1:12" x14ac:dyDescent="0.35">
      <c r="B24" s="3">
        <v>15</v>
      </c>
      <c r="C24" s="18"/>
      <c r="D24" s="18"/>
      <c r="E24" s="18"/>
      <c r="F24" s="19"/>
      <c r="G24" s="17"/>
      <c r="H24" s="17"/>
    </row>
    <row r="25" spans="1:12" x14ac:dyDescent="0.35">
      <c r="B25" s="6" t="s">
        <v>3</v>
      </c>
      <c r="C25" s="18">
        <f>IFERROR(AVERAGE(C10:C24),0)</f>
        <v>6.4883333333333333</v>
      </c>
      <c r="D25" s="18"/>
      <c r="E25" s="19">
        <f>IFERROR(AVERAGE(E10:F24), 0)</f>
        <v>6.5100000000000007</v>
      </c>
      <c r="F25" s="20"/>
      <c r="G25" s="17"/>
      <c r="H25" s="17"/>
    </row>
    <row r="26" spans="1:12" x14ac:dyDescent="0.35">
      <c r="B26" s="7" t="s">
        <v>4</v>
      </c>
      <c r="C26" s="18">
        <f>IFERROR(STDEV(C10:C24),0)</f>
        <v>9.3255920276766768E-2</v>
      </c>
      <c r="D26" s="18"/>
      <c r="E26" s="19">
        <f>IFERROR(STDEV(E10:F24), 0)</f>
        <v>5.5856960175075659E-2</v>
      </c>
      <c r="F26" s="20"/>
      <c r="G26" s="17"/>
      <c r="H26" s="17"/>
    </row>
    <row r="28" spans="1:12" ht="17.5" customHeight="1" x14ac:dyDescent="0.35">
      <c r="B28" s="8" t="s">
        <v>12</v>
      </c>
      <c r="C28" s="3">
        <f>MAX(C26:F26)</f>
        <v>9.3255920276766768E-2</v>
      </c>
      <c r="D28" s="11" t="s">
        <v>10</v>
      </c>
      <c r="E28" s="3">
        <f>MAX(C10:E24)</f>
        <v>6.58</v>
      </c>
    </row>
    <row r="29" spans="1:12" ht="17" customHeight="1" x14ac:dyDescent="0.35">
      <c r="B29" s="1" t="s">
        <v>5</v>
      </c>
      <c r="C29" s="3">
        <f>IF(C28=C26, C25, IF(C28=E26, E25, IF(C28=E26, E25, "BLANK")))</f>
        <v>6.4883333333333333</v>
      </c>
      <c r="D29" s="12" t="s">
        <v>11</v>
      </c>
      <c r="E29" s="3">
        <f>MIN(C10:E24)</f>
        <v>6.34</v>
      </c>
    </row>
    <row r="30" spans="1:12" ht="20" customHeight="1" x14ac:dyDescent="0.35">
      <c r="B30" s="13" t="s">
        <v>9</v>
      </c>
      <c r="C30" s="3">
        <f>STDEV(C25:E25)</f>
        <v>1.5320646925709041E-2</v>
      </c>
      <c r="D30" s="10" t="s">
        <v>13</v>
      </c>
      <c r="E30" s="3">
        <f>AVERAGE(C25:F25)</f>
        <v>6.4991666666666674</v>
      </c>
    </row>
    <row r="32" spans="1:12" x14ac:dyDescent="0.35">
      <c r="A32" s="33"/>
      <c r="B32" s="33"/>
      <c r="C32" s="33"/>
      <c r="D32" s="33"/>
      <c r="E32" s="33"/>
      <c r="F32" s="33"/>
      <c r="G32" s="33"/>
      <c r="H32" s="33"/>
      <c r="I32" s="33"/>
    </row>
    <row r="33" spans="1:9" x14ac:dyDescent="0.35">
      <c r="A33" s="34"/>
      <c r="B33" s="34"/>
      <c r="C33" s="34"/>
      <c r="D33" s="34"/>
      <c r="E33" s="34"/>
      <c r="F33" s="34"/>
      <c r="G33" s="34"/>
      <c r="H33" s="35"/>
      <c r="I33" s="36"/>
    </row>
    <row r="34" spans="1:9" x14ac:dyDescent="0.35">
      <c r="A34" s="34"/>
      <c r="B34" s="34"/>
      <c r="C34" s="34"/>
      <c r="D34" s="34"/>
      <c r="E34" s="34"/>
      <c r="F34" s="37"/>
      <c r="G34" s="34"/>
      <c r="H34" s="35"/>
      <c r="I34" s="36"/>
    </row>
    <row r="35" spans="1:9" x14ac:dyDescent="0.35">
      <c r="A35" s="34"/>
      <c r="B35" s="34"/>
      <c r="C35" s="34"/>
      <c r="D35" s="34"/>
      <c r="E35" s="34"/>
      <c r="F35" s="38"/>
      <c r="G35" s="34"/>
      <c r="H35" s="37"/>
      <c r="I35" s="36"/>
    </row>
    <row r="36" spans="1:9" x14ac:dyDescent="0.35">
      <c r="A36" s="34"/>
      <c r="B36" s="34"/>
      <c r="C36" s="34"/>
      <c r="D36" s="34"/>
      <c r="E36" s="34"/>
      <c r="F36" s="39"/>
      <c r="G36" s="34"/>
      <c r="H36" s="39"/>
      <c r="I36" s="36"/>
    </row>
    <row r="37" spans="1:9" x14ac:dyDescent="0.35">
      <c r="A37" s="34"/>
      <c r="B37" s="34"/>
      <c r="C37" s="34"/>
      <c r="D37" s="34"/>
      <c r="E37" s="34"/>
      <c r="F37" s="40"/>
      <c r="G37" s="34"/>
      <c r="H37" s="41"/>
      <c r="I37" s="36"/>
    </row>
    <row r="38" spans="1:9" x14ac:dyDescent="0.35">
      <c r="A38" s="34"/>
      <c r="B38" s="34"/>
      <c r="C38" s="34"/>
      <c r="D38" s="34"/>
      <c r="E38" s="34"/>
      <c r="F38" s="39"/>
      <c r="G38" s="34"/>
      <c r="H38" s="39"/>
      <c r="I38" s="36"/>
    </row>
    <row r="39" spans="1:9" x14ac:dyDescent="0.35">
      <c r="A39" s="34"/>
      <c r="B39" s="34"/>
      <c r="C39" s="34"/>
      <c r="D39" s="34"/>
      <c r="E39" s="34"/>
      <c r="F39" s="34"/>
      <c r="G39" s="34"/>
      <c r="H39" s="36"/>
      <c r="I39" s="36"/>
    </row>
    <row r="40" spans="1:9" x14ac:dyDescent="0.35">
      <c r="A40" s="34"/>
      <c r="B40" s="34"/>
      <c r="C40" s="34"/>
      <c r="D40" s="34"/>
      <c r="E40" s="34"/>
      <c r="F40" s="34"/>
      <c r="G40" s="34"/>
      <c r="H40" s="36"/>
      <c r="I40" s="36"/>
    </row>
    <row r="41" spans="1:9" x14ac:dyDescent="0.35">
      <c r="A41" s="34"/>
      <c r="B41" s="34"/>
      <c r="C41" s="34"/>
      <c r="D41" s="34"/>
      <c r="E41" s="34"/>
      <c r="F41" s="34"/>
      <c r="G41" s="34"/>
      <c r="H41" s="36"/>
      <c r="I41" s="36"/>
    </row>
    <row r="42" spans="1:9" x14ac:dyDescent="0.35">
      <c r="A42" s="34"/>
      <c r="B42" s="34"/>
      <c r="C42" s="34"/>
      <c r="D42" s="34"/>
      <c r="E42" s="34"/>
      <c r="F42" s="34"/>
      <c r="G42" s="34"/>
      <c r="H42" s="34"/>
      <c r="I42" s="36"/>
    </row>
    <row r="43" spans="1:9" x14ac:dyDescent="0.35">
      <c r="A43" s="34"/>
      <c r="B43" s="33"/>
      <c r="C43" s="34"/>
      <c r="D43" s="33"/>
      <c r="E43" s="42"/>
      <c r="F43" s="34"/>
      <c r="G43" s="34"/>
      <c r="H43" s="34"/>
      <c r="I43" s="34"/>
    </row>
    <row r="44" spans="1:9" ht="30" customHeight="1" x14ac:dyDescent="0.35">
      <c r="A44" s="34"/>
      <c r="B44" s="33"/>
      <c r="C44" s="34"/>
      <c r="D44" s="33"/>
      <c r="E44" s="33"/>
      <c r="F44" s="34"/>
      <c r="G44" s="34"/>
      <c r="H44" s="34"/>
      <c r="I44" s="34"/>
    </row>
    <row r="45" spans="1:9" x14ac:dyDescent="0.35">
      <c r="A45" s="34"/>
      <c r="B45" s="33"/>
      <c r="C45" s="34"/>
      <c r="D45" s="33"/>
      <c r="E45" s="33"/>
      <c r="F45" s="34"/>
      <c r="G45" s="34"/>
      <c r="H45" s="34"/>
      <c r="I45" s="34"/>
    </row>
    <row r="46" spans="1:9" x14ac:dyDescent="0.35">
      <c r="A46" s="34"/>
      <c r="B46" s="33"/>
      <c r="C46" s="43"/>
      <c r="D46" s="34"/>
      <c r="E46" s="34"/>
      <c r="F46" s="34"/>
      <c r="G46" s="34"/>
      <c r="H46" s="34"/>
      <c r="I46" s="34"/>
    </row>
    <row r="50" spans="2:5" x14ac:dyDescent="0.35">
      <c r="B50" s="9">
        <v>1</v>
      </c>
      <c r="C50" s="9" t="s">
        <v>6</v>
      </c>
      <c r="D50" s="4"/>
      <c r="E50" s="4"/>
    </row>
    <row r="51" spans="2:5" x14ac:dyDescent="0.35">
      <c r="B51" s="9">
        <v>2</v>
      </c>
      <c r="C51" s="9" t="s">
        <v>7</v>
      </c>
      <c r="D51" s="4"/>
      <c r="E51" s="4"/>
    </row>
    <row r="52" spans="2:5" x14ac:dyDescent="0.35">
      <c r="B52" s="9">
        <v>3</v>
      </c>
      <c r="C52" s="9"/>
      <c r="D52" s="4"/>
      <c r="E52" s="4"/>
    </row>
  </sheetData>
  <mergeCells count="61">
    <mergeCell ref="B7:D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C17:D17"/>
    <mergeCell ref="C18:D18"/>
    <mergeCell ref="C19:D19"/>
    <mergeCell ref="C20:D20"/>
    <mergeCell ref="C21:D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G21:H21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Hide!$B$3:$B$4</xm:f>
          </x14:formula1>
          <xm:sqref>D33:D41</xm:sqref>
        </x14:dataValidation>
        <x14:dataValidation type="list" allowBlank="1" showInputMessage="1" showErrorMessage="1" xr:uid="{00000000-0002-0000-0100-000001000000}">
          <x14:formula1>
            <xm:f>Hide!$D$3:$D$5</xm:f>
          </x14:formula1>
          <xm:sqref>E33:E41 C44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2010-01-08T06:13:27Z</cp:lastPrinted>
  <dcterms:created xsi:type="dcterms:W3CDTF">2006-09-16T00:00:00Z</dcterms:created>
  <dcterms:modified xsi:type="dcterms:W3CDTF">2024-04-20T08:02:21Z</dcterms:modified>
</cp:coreProperties>
</file>