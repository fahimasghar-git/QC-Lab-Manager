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 defaultThemeVersion="124226"/>
  <xr:revisionPtr revIDLastSave="0" documentId="13_ncr:1_{9936AF93-A303-4C67-824A-A8E8524F1E9F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1" l="1"/>
  <c r="H41" i="1"/>
  <c r="F41" i="1"/>
  <c r="F38" i="1" l="1"/>
  <c r="H38" i="1" s="1"/>
  <c r="F37" i="1"/>
  <c r="H37" i="1" s="1"/>
  <c r="F36" i="1"/>
  <c r="H36" i="1" s="1"/>
  <c r="F35" i="1"/>
  <c r="H35" i="1" s="1"/>
  <c r="I35" i="1" s="1"/>
  <c r="E26" i="1" l="1"/>
  <c r="E25" i="1"/>
  <c r="E29" i="1" l="1"/>
  <c r="E28" i="1"/>
  <c r="E44" i="1" l="1"/>
  <c r="E45" i="1" s="1"/>
  <c r="I36" i="1"/>
  <c r="I37" i="1"/>
  <c r="I38" i="1"/>
  <c r="F39" i="1"/>
  <c r="H39" i="1" s="1"/>
  <c r="F40" i="1"/>
  <c r="H40" i="1" s="1"/>
  <c r="I40" i="1" l="1"/>
  <c r="I39" i="1"/>
  <c r="C26" i="1"/>
  <c r="C28" i="1" s="1"/>
  <c r="C25" i="1"/>
  <c r="C29" i="1" l="1"/>
  <c r="G33" i="1" s="1"/>
  <c r="C30" i="1"/>
  <c r="C34" i="1" s="1"/>
  <c r="F34" i="1" s="1"/>
  <c r="E30" i="1"/>
  <c r="G34" i="1" s="1"/>
  <c r="H34" i="1" l="1"/>
  <c r="I34" i="1" s="1"/>
  <c r="C33" i="1"/>
  <c r="F33" i="1" s="1"/>
  <c r="H33" i="1" s="1"/>
  <c r="I33" i="1" s="1"/>
  <c r="C43" i="1" l="1"/>
  <c r="C45" i="1" s="1"/>
  <c r="C46" i="1" s="1"/>
</calcChain>
</file>

<file path=xl/sharedStrings.xml><?xml version="1.0" encoding="utf-8"?>
<sst xmlns="http://schemas.openxmlformats.org/spreadsheetml/2006/main" count="54" uniqueCount="41">
  <si>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</si>
  <si>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</si>
  <si>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</si>
  <si>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</si>
  <si>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</si>
  <si>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</si>
  <si>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</si>
  <si>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</si>
  <si>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</si>
  <si>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</si>
  <si>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</si>
  <si>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</si>
  <si>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</si>
  <si>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</si>
  <si>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</si>
  <si>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</si>
  <si>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</si>
  <si>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</si>
  <si>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</si>
  <si>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</si>
  <si>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</si>
  <si>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</si>
  <si>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</si>
  <si>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</si>
  <si>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</si>
  <si>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</si>
  <si>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</si>
  <si>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</si>
  <si>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</si>
  <si>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</si>
  <si>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</si>
  <si>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Digestion Block</t>
  </si>
  <si>
    <t>Flask (100mL)</t>
  </si>
  <si>
    <t>Method Reference SFRI Guide-2021(p8-11)</t>
  </si>
  <si>
    <t>Test Title: Nitrogen</t>
  </si>
  <si>
    <t>Doc Code: LSP-FRM-13.01
Issue Date: 12-03-2023
Revision Date: 11-06-2024</t>
  </si>
  <si>
    <t>Date of Performance 11-06-2024</t>
  </si>
  <si>
    <t>Analytical Balance</t>
  </si>
  <si>
    <t>Hygrometer</t>
  </si>
  <si>
    <t>Flask (1000mL)</t>
  </si>
  <si>
    <t>Pipette (10mL)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</si>
</sst>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4" x14ac:dyDescent="0.3"/>
  <sheetData>
    <row r="3" spans="2:4" x14ac:dyDescent="0.3">
      <c r="B3" t="s">
        <v>12</v>
      </c>
      <c r="D3">
        <v>1</v>
      </c>
    </row>
    <row r="4" spans="2:4" x14ac:dyDescent="0.3">
      <c r="B4" t="s">
        <v>20</v>
      </c>
      <c r="D4">
        <v>2</v>
      </c>
    </row>
    <row r="5" spans="2:4" x14ac:dyDescent="0.3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topLeftCell="A12" zoomScale="90" zoomScaleNormal="90" workbookViewId="0">
      <selection activeCell="G12" sqref="G12:H12"/>
    </sheetView>
  </sheetViews>
  <sheetFormatPr defaultColWidth="9.21875" defaultRowHeight="14.4" x14ac:dyDescent="0.3"/>
  <cols>
    <col min="1" max="1" width="3" style="2" bestFit="1" customWidth="1"/>
    <col min="2" max="2" width="17.77734375" style="2" customWidth="1"/>
    <col min="3" max="3" width="11.5546875" style="2" bestFit="1" customWidth="1"/>
    <col min="4" max="4" width="11.33203125" style="2" bestFit="1" customWidth="1"/>
    <col min="5" max="5" width="11.77734375" style="2" bestFit="1" customWidth="1"/>
    <col min="6" max="6" width="12.5546875" style="2" bestFit="1" customWidth="1"/>
    <col min="7" max="7" width="14.109375" style="2" bestFit="1" customWidth="1"/>
    <col min="8" max="8" width="17.88671875" style="2" bestFit="1" customWidth="1"/>
    <col min="9" max="9" width="19.77734375" style="2" bestFit="1" customWidth="1"/>
    <col min="10" max="16384" width="9.21875" style="5"/>
  </cols>
  <sheetData>
    <row r="1" spans="2:9" ht="14.55" customHeight="1" x14ac:dyDescent="0.3">
      <c r="B1" s="36" t="s">
        <v>35</v>
      </c>
      <c r="C1" s="36"/>
      <c r="D1" s="42" t="s">
        <v>29</v>
      </c>
      <c r="E1" s="42"/>
      <c r="F1" s="42"/>
      <c r="G1" s="42"/>
      <c r="H1" s="42"/>
      <c r="I1" s="23"/>
    </row>
    <row r="2" spans="2:9" ht="14.55" customHeight="1" x14ac:dyDescent="0.3">
      <c r="B2" s="36"/>
      <c r="C2" s="36"/>
      <c r="D2" s="42"/>
      <c r="E2" s="42"/>
      <c r="F2" s="42"/>
      <c r="G2" s="42"/>
      <c r="H2" s="42"/>
      <c r="I2" s="23"/>
    </row>
    <row r="3" spans="2:9" ht="14.55" customHeight="1" x14ac:dyDescent="0.3">
      <c r="B3" s="36"/>
      <c r="C3" s="36"/>
      <c r="D3" s="42"/>
      <c r="E3" s="42"/>
      <c r="F3" s="42"/>
      <c r="G3" s="42"/>
      <c r="H3" s="42"/>
      <c r="I3" s="23"/>
    </row>
    <row r="4" spans="2:9" ht="15.75" customHeight="1" x14ac:dyDescent="0.3">
      <c r="C4" s="19"/>
    </row>
    <row r="5" spans="2:9" x14ac:dyDescent="0.3">
      <c r="B5" s="37" t="s">
        <v>34</v>
      </c>
      <c r="C5" s="38"/>
      <c r="D5" s="40"/>
      <c r="E5" s="40"/>
      <c r="F5" s="40"/>
      <c r="G5" s="40"/>
      <c r="H5" s="40"/>
      <c r="I5" s="22"/>
    </row>
    <row r="6" spans="2:9" ht="28.95" customHeight="1" x14ac:dyDescent="0.3">
      <c r="B6" s="37" t="s">
        <v>36</v>
      </c>
      <c r="C6" s="39"/>
      <c r="D6" s="41"/>
      <c r="E6" s="40"/>
      <c r="F6" s="40"/>
      <c r="G6" s="40"/>
      <c r="H6" s="40"/>
      <c r="I6" s="22"/>
    </row>
    <row r="7" spans="2:9" ht="14.55" customHeight="1" x14ac:dyDescent="0.3">
      <c r="B7" s="34" t="s">
        <v>33</v>
      </c>
      <c r="C7" s="35"/>
      <c r="D7" s="35"/>
      <c r="E7" s="35"/>
      <c r="F7" s="22"/>
      <c r="G7" s="22"/>
      <c r="H7" s="22"/>
      <c r="I7" s="22"/>
    </row>
    <row r="9" spans="2:9" x14ac:dyDescent="0.3">
      <c r="B9" s="6" t="s">
        <v>0</v>
      </c>
      <c r="C9" s="33" t="s">
        <v>1</v>
      </c>
      <c r="D9" s="33"/>
      <c r="E9" s="33" t="s">
        <v>2</v>
      </c>
      <c r="F9" s="44"/>
      <c r="G9" s="43"/>
      <c r="H9" s="43"/>
    </row>
    <row r="10" spans="2:9" x14ac:dyDescent="0.3">
      <c r="B10" s="3">
        <v>1</v>
      </c>
      <c r="C10" s="30">
        <v>8.32</v>
      </c>
      <c r="D10" s="30"/>
      <c r="E10" s="30">
        <v>8.43</v>
      </c>
      <c r="F10" s="31"/>
      <c r="G10" s="29"/>
      <c r="H10" s="29"/>
    </row>
    <row r="11" spans="2:9" x14ac:dyDescent="0.3">
      <c r="B11" s="3">
        <v>2</v>
      </c>
      <c r="C11" s="30">
        <v>8.4600000000000009</v>
      </c>
      <c r="D11" s="30"/>
      <c r="E11" s="30">
        <v>8.2899999999999991</v>
      </c>
      <c r="F11" s="31"/>
      <c r="G11" s="29"/>
      <c r="H11" s="29"/>
    </row>
    <row r="12" spans="2:9" x14ac:dyDescent="0.3">
      <c r="B12" s="3">
        <v>3</v>
      </c>
      <c r="C12" s="30">
        <v>8.23</v>
      </c>
      <c r="D12" s="30"/>
      <c r="E12" s="30">
        <v>8.3699999999999992</v>
      </c>
      <c r="F12" s="31"/>
      <c r="G12" s="29"/>
      <c r="H12" s="29"/>
    </row>
    <row r="13" spans="2:9" x14ac:dyDescent="0.3">
      <c r="B13" s="3">
        <v>4</v>
      </c>
      <c r="C13" s="30">
        <v>8.34</v>
      </c>
      <c r="D13" s="30"/>
      <c r="E13" s="30">
        <v>8.51</v>
      </c>
      <c r="F13" s="31"/>
      <c r="G13" s="29"/>
      <c r="H13" s="29"/>
    </row>
    <row r="14" spans="2:9" x14ac:dyDescent="0.3">
      <c r="B14" s="3">
        <v>5</v>
      </c>
      <c r="C14" s="30">
        <v>8.51</v>
      </c>
      <c r="D14" s="30"/>
      <c r="E14" s="30">
        <v>8.23</v>
      </c>
      <c r="F14" s="31"/>
      <c r="G14" s="29"/>
      <c r="H14" s="29"/>
    </row>
    <row r="15" spans="2:9" x14ac:dyDescent="0.3">
      <c r="B15" s="3">
        <v>6</v>
      </c>
      <c r="C15" s="30">
        <v>8.4</v>
      </c>
      <c r="D15" s="30"/>
      <c r="E15" s="30">
        <v>8.4600000000000009</v>
      </c>
      <c r="F15" s="31"/>
      <c r="G15" s="29"/>
      <c r="H15" s="29"/>
    </row>
    <row r="16" spans="2:9" x14ac:dyDescent="0.3">
      <c r="B16" s="3">
        <v>7</v>
      </c>
      <c r="C16" s="30"/>
      <c r="D16" s="30"/>
      <c r="E16" s="30"/>
      <c r="F16" s="31"/>
      <c r="G16" s="29"/>
      <c r="H16" s="29"/>
    </row>
    <row r="17" spans="1:12" x14ac:dyDescent="0.3">
      <c r="B17" s="3">
        <v>8</v>
      </c>
      <c r="C17" s="30"/>
      <c r="D17" s="30"/>
      <c r="E17" s="30"/>
      <c r="F17" s="31"/>
      <c r="G17" s="29"/>
      <c r="H17" s="29"/>
    </row>
    <row r="18" spans="1:12" x14ac:dyDescent="0.3">
      <c r="B18" s="3">
        <v>9</v>
      </c>
      <c r="C18" s="30"/>
      <c r="D18" s="30"/>
      <c r="E18" s="30"/>
      <c r="F18" s="31"/>
      <c r="G18" s="29"/>
      <c r="H18" s="29"/>
      <c r="L18" s="2"/>
    </row>
    <row r="19" spans="1:12" x14ac:dyDescent="0.3">
      <c r="B19" s="3">
        <v>10</v>
      </c>
      <c r="C19" s="30"/>
      <c r="D19" s="30"/>
      <c r="E19" s="30"/>
      <c r="F19" s="31"/>
      <c r="G19" s="29"/>
      <c r="H19" s="29"/>
    </row>
    <row r="20" spans="1:12" x14ac:dyDescent="0.3">
      <c r="B20" s="3">
        <v>11</v>
      </c>
      <c r="C20" s="30"/>
      <c r="D20" s="30"/>
      <c r="E20" s="30"/>
      <c r="F20" s="31"/>
      <c r="G20" s="29"/>
      <c r="H20" s="29"/>
    </row>
    <row r="21" spans="1:12" x14ac:dyDescent="0.3">
      <c r="B21" s="3">
        <v>12</v>
      </c>
      <c r="C21" s="30"/>
      <c r="D21" s="30"/>
      <c r="E21" s="30"/>
      <c r="F21" s="31"/>
      <c r="G21" s="29"/>
      <c r="H21" s="29"/>
    </row>
    <row r="22" spans="1:12" x14ac:dyDescent="0.3">
      <c r="B22" s="3">
        <v>13</v>
      </c>
      <c r="C22" s="30"/>
      <c r="D22" s="30"/>
      <c r="E22" s="30"/>
      <c r="F22" s="31"/>
      <c r="G22" s="29"/>
      <c r="H22" s="29"/>
    </row>
    <row r="23" spans="1:12" x14ac:dyDescent="0.3">
      <c r="B23" s="3">
        <v>14</v>
      </c>
      <c r="C23" s="30"/>
      <c r="D23" s="30"/>
      <c r="E23" s="30"/>
      <c r="F23" s="31"/>
      <c r="G23" s="29"/>
      <c r="H23" s="29"/>
    </row>
    <row r="24" spans="1:12" x14ac:dyDescent="0.3">
      <c r="B24" s="3">
        <v>15</v>
      </c>
      <c r="C24" s="30"/>
      <c r="D24" s="30"/>
      <c r="E24" s="30"/>
      <c r="F24" s="31"/>
      <c r="G24" s="29"/>
      <c r="H24" s="29"/>
    </row>
    <row r="25" spans="1:12" x14ac:dyDescent="0.3">
      <c r="B25" s="7" t="s">
        <v>3</v>
      </c>
      <c r="C25" s="30">
        <f>IFERROR(AVERAGE(C10:C24),0)</f>
        <v>8.3766666666666669</v>
      </c>
      <c r="D25" s="30"/>
      <c r="E25" s="31">
        <f>IFERROR(AVERAGE(E10:F24), 0)</f>
        <v>8.3816666666666659</v>
      </c>
      <c r="F25" s="32"/>
      <c r="G25" s="29"/>
      <c r="H25" s="29"/>
    </row>
    <row r="26" spans="1:12" x14ac:dyDescent="0.3">
      <c r="B26" s="8" t="s">
        <v>4</v>
      </c>
      <c r="C26" s="30">
        <f>IFERROR(STDEV(C10:C24),0)</f>
        <v>0.10132456102380438</v>
      </c>
      <c r="D26" s="30"/>
      <c r="E26" s="31">
        <f>IFERROR(STDEV(E10:F24), 0)</f>
        <v>0.10628577828979137</v>
      </c>
      <c r="F26" s="32"/>
      <c r="G26" s="29"/>
      <c r="H26" s="29"/>
    </row>
    <row r="28" spans="1:12" ht="17.55" customHeight="1" x14ac:dyDescent="0.3">
      <c r="B28" s="9" t="s">
        <v>5</v>
      </c>
      <c r="C28" s="3">
        <f>MAX(C26:F26)</f>
        <v>0.10628577828979137</v>
      </c>
      <c r="D28" s="16" t="s">
        <v>23</v>
      </c>
      <c r="E28" s="3">
        <f>MAX(C10:E24)</f>
        <v>8.51</v>
      </c>
    </row>
    <row r="29" spans="1:12" ht="16.95" customHeight="1" x14ac:dyDescent="0.3">
      <c r="B29" s="1" t="s">
        <v>6</v>
      </c>
      <c r="C29" s="3">
        <f>IF(C28=C26, C25, IF(C28=E26, E25, IF(C28=E26, E25, "BLANK")))</f>
        <v>8.3816666666666659</v>
      </c>
      <c r="D29" s="17" t="s">
        <v>24</v>
      </c>
      <c r="E29" s="3">
        <f>MIN(C10:E24)</f>
        <v>8.23</v>
      </c>
    </row>
    <row r="30" spans="1:12" ht="19.95" customHeight="1" x14ac:dyDescent="0.3">
      <c r="B30" s="18" t="s">
        <v>22</v>
      </c>
      <c r="C30" s="3">
        <f>STDEV(C25:E25)</f>
        <v>3.5355339059320342E-3</v>
      </c>
      <c r="D30" s="14" t="s">
        <v>26</v>
      </c>
      <c r="E30" s="3">
        <f>AVERAGE(C25:F25)</f>
        <v>8.3791666666666664</v>
      </c>
    </row>
    <row r="32" spans="1:12" ht="28.8" x14ac:dyDescent="0.3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">
      <c r="A33" s="3">
        <v>1</v>
      </c>
      <c r="B33" s="3" t="s">
        <v>25</v>
      </c>
      <c r="C33" s="28">
        <f>C28</f>
        <v>0.10628577828979137</v>
      </c>
      <c r="D33" s="3" t="s">
        <v>12</v>
      </c>
      <c r="E33" s="3">
        <v>1</v>
      </c>
      <c r="F33" s="28">
        <f>IF(E33=2, C33/1.96, IF(E33=3, C33/2.58, IF(E33=1, C33/1, C33/1.73)))</f>
        <v>0.10628577828979137</v>
      </c>
      <c r="G33" s="3">
        <f>C29</f>
        <v>8.3816666666666659</v>
      </c>
      <c r="H33" s="24">
        <f>F33/G33</f>
        <v>1.2680745073349538E-2</v>
      </c>
      <c r="I33" s="4">
        <f>H33*H33</f>
        <v>1.6080129561527859E-4</v>
      </c>
    </row>
    <row r="34" spans="1:9" x14ac:dyDescent="0.3">
      <c r="A34" s="3">
        <v>2</v>
      </c>
      <c r="B34" s="3" t="s">
        <v>22</v>
      </c>
      <c r="C34" s="28">
        <f>C30</f>
        <v>3.5355339059320342E-3</v>
      </c>
      <c r="D34" s="3" t="s">
        <v>12</v>
      </c>
      <c r="E34" s="3">
        <v>1</v>
      </c>
      <c r="F34" s="25">
        <f>IF(E34=2, C34/1.96, IF(E34=3, C34/2.58, IF(E34=1, C34/1, C34/1.73)))</f>
        <v>3.5355339059320342E-3</v>
      </c>
      <c r="G34" s="3">
        <f>E30</f>
        <v>8.3791666666666664</v>
      </c>
      <c r="H34" s="24">
        <f>F34/G34</f>
        <v>4.2194338012117763E-4</v>
      </c>
      <c r="I34" s="4">
        <f>H34*H34</f>
        <v>1.780362160280846E-7</v>
      </c>
    </row>
    <row r="35" spans="1:9" x14ac:dyDescent="0.3">
      <c r="A35" s="3">
        <v>3</v>
      </c>
      <c r="B35" s="3" t="s">
        <v>30</v>
      </c>
      <c r="C35" s="3">
        <v>6.0000000000000001E-3</v>
      </c>
      <c r="D35" s="3" t="s">
        <v>20</v>
      </c>
      <c r="E35" s="3">
        <v>2</v>
      </c>
      <c r="F35" s="26">
        <f t="shared" ref="F35:F37" si="0">IF(E35=2, C35/1.96, IF(E35=3, C35/2.58, IF(E35=1, C35/1, C35/1.73)))</f>
        <v>3.0612244897959186E-3</v>
      </c>
      <c r="G35" s="3">
        <v>1</v>
      </c>
      <c r="H35" s="26">
        <f t="shared" ref="H35" si="1">F35/G35</f>
        <v>3.0612244897959186E-3</v>
      </c>
      <c r="I35" s="4">
        <f t="shared" ref="I35:I38" si="2">H35*H35</f>
        <v>9.3710953769262823E-6</v>
      </c>
    </row>
    <row r="36" spans="1:9" x14ac:dyDescent="0.3">
      <c r="A36" s="3">
        <v>4</v>
      </c>
      <c r="B36" s="3" t="s">
        <v>32</v>
      </c>
      <c r="C36" s="3">
        <v>0.01</v>
      </c>
      <c r="D36" s="3" t="s">
        <v>20</v>
      </c>
      <c r="E36" s="3">
        <v>2</v>
      </c>
      <c r="F36" s="27">
        <f t="shared" si="0"/>
        <v>5.1020408163265311E-3</v>
      </c>
      <c r="G36" s="3">
        <v>100</v>
      </c>
      <c r="H36" s="27">
        <f>F36/G36*100</f>
        <v>5.1020408163265311E-3</v>
      </c>
      <c r="I36" s="4">
        <f t="shared" si="2"/>
        <v>2.6030820491461895E-5</v>
      </c>
    </row>
    <row r="37" spans="1:9" x14ac:dyDescent="0.3">
      <c r="A37" s="3">
        <v>5</v>
      </c>
      <c r="B37" s="3" t="s">
        <v>31</v>
      </c>
      <c r="C37" s="3">
        <v>0.84</v>
      </c>
      <c r="D37" s="3" t="s">
        <v>20</v>
      </c>
      <c r="E37" s="3">
        <v>2</v>
      </c>
      <c r="F37" s="26">
        <f t="shared" si="0"/>
        <v>0.42857142857142855</v>
      </c>
      <c r="G37" s="3">
        <v>400</v>
      </c>
      <c r="H37" s="27">
        <f>F37/G37*100</f>
        <v>0.10714285714285712</v>
      </c>
      <c r="I37" s="4">
        <f t="shared" si="2"/>
        <v>1.1479591836734689E-2</v>
      </c>
    </row>
    <row r="38" spans="1:9" x14ac:dyDescent="0.3">
      <c r="A38" s="3">
        <v>6</v>
      </c>
      <c r="B38" s="3" t="s">
        <v>37</v>
      </c>
      <c r="C38" s="3">
        <v>2.0000000000000001E-4</v>
      </c>
      <c r="D38" s="3" t="s">
        <v>20</v>
      </c>
      <c r="E38" s="3">
        <v>2</v>
      </c>
      <c r="F38" s="25">
        <f>IF(E38=2, C38/1.96, IF(E38=3, C38/2.58, IF(E38=1, C38/1, C38/1.73)))</f>
        <v>1.0204081632653062E-4</v>
      </c>
      <c r="G38" s="3">
        <v>220</v>
      </c>
      <c r="H38" s="24">
        <f t="shared" ref="H38:H41" si="3">IFERROR(F38/G38*100,0)</f>
        <v>4.6382189239332101E-5</v>
      </c>
      <c r="I38" s="4">
        <f t="shared" si="2"/>
        <v>2.1513074786332148E-9</v>
      </c>
    </row>
    <row r="39" spans="1:9" x14ac:dyDescent="0.3">
      <c r="A39" s="3">
        <v>8</v>
      </c>
      <c r="B39" s="3" t="s">
        <v>38</v>
      </c>
      <c r="C39" s="3">
        <v>0.62</v>
      </c>
      <c r="D39" s="3" t="s">
        <v>20</v>
      </c>
      <c r="E39" s="3">
        <v>2</v>
      </c>
      <c r="F39" s="3">
        <f>IF(E39=2, C39/1.96, IF(E39=3, C39/2.58, IF(E39=1, C39/1, C39/1.73)))</f>
        <v>0.31632653061224492</v>
      </c>
      <c r="G39" s="3">
        <v>100</v>
      </c>
      <c r="H39" s="4">
        <f t="shared" si="3"/>
        <v>0.31632653061224492</v>
      </c>
      <c r="I39" s="4">
        <f t="shared" ref="I39:I41" si="4">H39*H39</f>
        <v>0.10006247396917951</v>
      </c>
    </row>
    <row r="40" spans="1:9" x14ac:dyDescent="0.3">
      <c r="A40" s="3">
        <v>9</v>
      </c>
      <c r="B40" s="3" t="s">
        <v>39</v>
      </c>
      <c r="C40" s="3">
        <v>0.12</v>
      </c>
      <c r="D40" s="3" t="s">
        <v>20</v>
      </c>
      <c r="E40" s="3">
        <v>2</v>
      </c>
      <c r="F40" s="3">
        <f>IF(E40=2, C40/1.96, IF(E40=3, C40/2.58, IF(E40=1, C40/1, C40/1.73)))</f>
        <v>6.1224489795918366E-2</v>
      </c>
      <c r="G40" s="3">
        <v>1000</v>
      </c>
      <c r="H40" s="4">
        <f t="shared" si="3"/>
        <v>6.1224489795918364E-3</v>
      </c>
      <c r="I40" s="4">
        <f t="shared" si="4"/>
        <v>3.7484381507705116E-5</v>
      </c>
    </row>
    <row r="41" spans="1:9" x14ac:dyDescent="0.3">
      <c r="A41" s="2">
        <v>10</v>
      </c>
      <c r="B41" s="3" t="s">
        <v>40</v>
      </c>
      <c r="C41" s="3">
        <v>2E-3</v>
      </c>
      <c r="D41" s="3" t="s">
        <v>20</v>
      </c>
      <c r="E41" s="3">
        <v>2</v>
      </c>
      <c r="F41" s="3">
        <f>IF(E41=2, C41/1.96, IF(E41=3, C41/2.58, IF(E41=1, C41/1, C41/1.73)))</f>
        <v>1.0204081632653062E-3</v>
      </c>
      <c r="G41" s="3">
        <v>10</v>
      </c>
      <c r="H41" s="4">
        <f t="shared" si="3"/>
        <v>1.0204081632653062E-2</v>
      </c>
      <c r="I41" s="4">
        <f t="shared" si="4"/>
        <v>1.0412328196584758E-4</v>
      </c>
    </row>
    <row r="43" spans="1:9" ht="33.450000000000003" customHeight="1" x14ac:dyDescent="0.3">
      <c r="B43" s="12" t="s">
        <v>19</v>
      </c>
      <c r="C43" s="3">
        <f>SQRT(SUM(I33:I40))</f>
        <v>0.33432907977983173</v>
      </c>
      <c r="D43" s="11" t="s">
        <v>8</v>
      </c>
      <c r="E43" s="13">
        <v>0.68</v>
      </c>
    </row>
    <row r="44" spans="1:9" ht="21" customHeight="1" x14ac:dyDescent="0.3">
      <c r="B44" s="14" t="s">
        <v>7</v>
      </c>
      <c r="C44" s="3">
        <v>2</v>
      </c>
      <c r="D44" s="11" t="s">
        <v>21</v>
      </c>
      <c r="E44" s="11" t="str">
        <f>IF(C44=2, "CL 95%", IF(C44=3, "CL 99%", IF(C44=1, "CL 67%", "Please Give K")))</f>
        <v>CL 95%</v>
      </c>
    </row>
    <row r="45" spans="1:9" ht="30.45" customHeight="1" x14ac:dyDescent="0.3">
      <c r="B45" s="15" t="s">
        <v>28</v>
      </c>
      <c r="C45" s="28">
        <f>C43*C44</f>
        <v>0.66865815955966346</v>
      </c>
      <c r="D45" s="11" t="s">
        <v>8</v>
      </c>
      <c r="E45" s="11" t="str">
        <f>E44</f>
        <v>CL 95%</v>
      </c>
    </row>
    <row r="46" spans="1:9" ht="19.5" customHeight="1" x14ac:dyDescent="0.3">
      <c r="B46" s="20" t="s">
        <v>27</v>
      </c>
      <c r="C46" s="21">
        <f>(C45*C29)/100</f>
        <v>5.6044698073759121E-2</v>
      </c>
    </row>
    <row r="49" spans="2:5" x14ac:dyDescent="0.3">
      <c r="B49" s="10">
        <v>1</v>
      </c>
      <c r="C49" s="10" t="s">
        <v>12</v>
      </c>
      <c r="D49" s="5"/>
      <c r="E49" s="5"/>
    </row>
    <row r="50" spans="2:5" x14ac:dyDescent="0.3">
      <c r="B50" s="10">
        <v>2</v>
      </c>
      <c r="C50" s="10" t="s">
        <v>13</v>
      </c>
      <c r="D50" s="5"/>
      <c r="E50" s="5"/>
    </row>
    <row r="51" spans="2:5" x14ac:dyDescent="0.3">
      <c r="B51" s="10">
        <v>3</v>
      </c>
      <c r="C51" s="10"/>
      <c r="D51" s="5"/>
      <c r="E51" s="5"/>
    </row>
  </sheetData>
  <mergeCells count="61">
    <mergeCell ref="B7:E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C17:D17"/>
    <mergeCell ref="C18:D18"/>
    <mergeCell ref="C19:D19"/>
    <mergeCell ref="C20:D20"/>
    <mergeCell ref="C21:D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G21:H21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C44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2024-06-29T05:58:15Z</dcterms:modified>
</cp:coreProperties>
</file>