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filterPrivacy="1"/>
  <xr:revisionPtr revIDLastSave="0" documentId="13_ncr:1_{8297BA5E-7482-4A56-8604-02619C257F43}" xr6:coauthVersionLast="47" xr6:coauthVersionMax="47" xr10:uidLastSave="{00000000-0000-0000-0000-000000000000}"/>
  <bookViews>
    <workbookView xWindow="-108" yWindow="-108" windowWidth="23256" windowHeight="12576" firstSheet="1" activeTab="1" xr2:uid="{00000000-000D-0000-FFFF-FFFF00000000}"/>
  </bookViews>
  <sheets>
    <sheet name="DO NOT EDIT" sheetId="2" state="hidden" r:id="rId1"/>
    <sheet name="Risk Management" sheetId="1" r:id="rId2"/>
    <sheet name="Criteria" sheetId="4" r:id="rId3"/>
    <sheet name="Heat Cha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 l="1"/>
  <c r="E20" i="1"/>
  <c r="E19" i="1"/>
  <c r="E18" i="1"/>
  <c r="E35" i="1"/>
  <c r="E8" i="1"/>
  <c r="E9" i="1"/>
  <c r="E10" i="1"/>
  <c r="E11" i="1"/>
  <c r="E12" i="1"/>
  <c r="E13" i="1"/>
  <c r="E14" i="1"/>
  <c r="E15" i="1"/>
  <c r="E16" i="1"/>
  <c r="E17" i="1"/>
  <c r="E22" i="1"/>
  <c r="E24" i="1"/>
  <c r="E25" i="1"/>
  <c r="E26" i="1"/>
  <c r="E27" i="1"/>
  <c r="E28" i="1"/>
  <c r="E30" i="1"/>
  <c r="E31" i="1"/>
  <c r="E32" i="1"/>
  <c r="E34" i="1"/>
  <c r="E36" i="1"/>
  <c r="E38" i="1"/>
  <c r="E39" i="1"/>
  <c r="E41" i="1"/>
  <c r="E42" i="1"/>
  <c r="E44" i="1"/>
  <c r="E45" i="1"/>
  <c r="E46" i="1"/>
  <c r="E47" i="1"/>
  <c r="E48" i="1"/>
  <c r="E49" i="1"/>
  <c r="E50" i="1"/>
  <c r="E51" i="1"/>
  <c r="E7" i="1" l="1"/>
</calcChain>
</file>

<file path=xl/sharedStrings.xml><?xml version="1.0" encoding="utf-8"?>
<sst xmlns="http://schemas.openxmlformats.org/spreadsheetml/2006/main" count="219" uniqueCount="113">
  <si>
    <t>SN</t>
  </si>
  <si>
    <t>RISK</t>
  </si>
  <si>
    <t>O</t>
  </si>
  <si>
    <t>S</t>
  </si>
  <si>
    <t>RISK RATING</t>
  </si>
  <si>
    <t>RISK TREATMENT PLAN</t>
  </si>
  <si>
    <t>RESPONSIBILITY</t>
  </si>
  <si>
    <t>TARGET DATE</t>
  </si>
  <si>
    <t>STATUS</t>
  </si>
  <si>
    <t>RISK ASSESSMENT</t>
  </si>
  <si>
    <t>RISK TREATMENT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</si>
  <si>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</si>
  <si>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</si>
  <si>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</si>
  <si>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</si>
  <si>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</si>
  <si>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</si>
  <si>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</si>
  <si>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</si>
  <si>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</si>
  <si>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</si>
  <si>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</si>
  <si>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</si>
  <si>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</si>
  <si>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</si>
  <si>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</si>
  <si>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</si>
  <si>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</si>
  <si>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</si>
  <si>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</si>
  <si>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</si>
  <si>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</si>
  <si>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</si>
  <si>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</si>
  <si>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</si>
  <si>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Computer systems will be provided with username and password protection.</t>
  </si>
  <si>
    <t>Actual Date of Completion</t>
  </si>
  <si>
    <t>Last Upated on:</t>
  </si>
  <si>
    <t>Risk Revision SN</t>
  </si>
  <si>
    <t>Records kept in printed (hard copy) format are not kept in locked cabinets which can lead to unauthorized access to customer reports.</t>
  </si>
  <si>
    <t>Records related to customer (such as customer contact information and test reports) will be kept in a locked cabinet.</t>
  </si>
  <si>
    <t>Computer system used for storage and documentation of Lab Management System, are not provided with password protection which can lead to leakage information</t>
  </si>
  <si>
    <t>Computer system used for reporting of results, are not provided with password protection which can lead to leakage confidential information</t>
  </si>
  <si>
    <t>Some equipment were not calibrated before PT participation which could have increased the risk of PT failure</t>
  </si>
  <si>
    <t>Calibration plan to be maintained to ensure timely calibration of equipment (through use of Equipment History Log Book)</t>
  </si>
  <si>
    <t>Performer due to some personal reason does not complete the test process and submits report without complete data requested by customer, which can lead to risk of impartiality.</t>
  </si>
  <si>
    <t>Performer may not perform the test correctly due to workload and timeline pressures, for the sake of giving results quickly, which can lead to risk of impartiality.</t>
  </si>
  <si>
    <t>Customer is able to directly offer money to or put pressure on, test performer, to change the results according to his own will, which can lead to risk of impartiality.</t>
  </si>
  <si>
    <t>There is a chance that test performers might give favor to customer by modifying test results, which could negatively effect impartiality of the Lab.</t>
  </si>
  <si>
    <t>Customer is able to directly offer money to or put pressure on, customer service representatives, to modify the reports according to his own will, which can lead to risk of impartiality.</t>
  </si>
  <si>
    <t>Performer may not perform test correctly due to lack of understanding of test method or due to absence of sufficient experience, which can compromise impartiality of the lab due to incorrect results.</t>
  </si>
  <si>
    <t>Test results will be reviewed by supervisors and management personnel, before it is approved for Reporting to Customer.</t>
  </si>
  <si>
    <t>One of the superior officers pressurizes the test performer in modifying the test report before dispatch, which can lead to risk of impartiality.</t>
  </si>
  <si>
    <t>Test results will be reviewed by multiple supervisors before the report is approved for dispatch.</t>
  </si>
  <si>
    <t>Test performer will only be authorized to perform a test without supervision, after Supervisors have ensured that he has received sufficient training of the test.</t>
  </si>
  <si>
    <t>IMPARTIALITY RISKS</t>
  </si>
  <si>
    <t>CONFIDENTIALITY RISKS</t>
  </si>
  <si>
    <t>Customer's information is leaked to unauthorized persons by lab personnel unintentionally, which can lead to breach of confidentiality.</t>
  </si>
  <si>
    <t>Customer is able to access the lab and data available physically, which can lead to breach of confidentiality.</t>
  </si>
  <si>
    <t>Access to lab sections and computer system will be strictly controlled, and customers will not be allowed inside official working areas without authorized escort.</t>
  </si>
  <si>
    <t>Hard Copy files are easily accessible to unauthorized person, which can lead to breach of confidentiality.</t>
  </si>
  <si>
    <t>All documents and records in hard copy format will be stored in locked cabinets, which access to authorized personnel only.</t>
  </si>
  <si>
    <t>PERSONNEL</t>
  </si>
  <si>
    <t>Untrained person will not be capable of performing the tests correctly and achieving correct results.</t>
  </si>
  <si>
    <t>Personnel will be trained for the tests before they are authorized to perform them, to ensure correct performance and correct results.</t>
  </si>
  <si>
    <t>Test Performer is involved in performing tests which he is not authorized for.</t>
  </si>
  <si>
    <t>EQUIPMENT</t>
  </si>
  <si>
    <t>Equipment may malfunction.</t>
  </si>
  <si>
    <t>Equipment might not give reliable results.</t>
  </si>
  <si>
    <t>PURCHASE</t>
  </si>
  <si>
    <t>Purchase of unreliable equipment and supplies.</t>
  </si>
  <si>
    <t>Purchased equipment does not have all the requirements and features.</t>
  </si>
  <si>
    <t>ITEMS MANAGEMENT</t>
  </si>
  <si>
    <t>Chemicals and reagents have expired due to lack of proper storage facility.</t>
  </si>
  <si>
    <t xml:space="preserve">Chemicals and reagents are stored in a temperature controlled environment. </t>
  </si>
  <si>
    <t>Wastage and misuse of Chemicals and reagents.</t>
  </si>
  <si>
    <t>ENVIRONMENT</t>
  </si>
  <si>
    <t>Test environment temperature is out of limits.</t>
  </si>
  <si>
    <t>Test environment humidity is out of limits.</t>
  </si>
  <si>
    <t xml:space="preserve"> </t>
  </si>
  <si>
    <t>Issued: 01-Jan-2024</t>
  </si>
  <si>
    <t>Rev: 00</t>
  </si>
  <si>
    <t>Doc. QCL-FRM-8.01</t>
  </si>
  <si>
    <t>Heat Chart</t>
  </si>
  <si>
    <t>VAN QC Lab will ensure that customer cannot directly communicate or interact with test performer without written approval of Management and in their presence only.</t>
  </si>
  <si>
    <t>VAN QC Lab will ensure that reports kept under the custody of Customer Representatives (for dispatch) are review and approved by relevant authorities.</t>
  </si>
  <si>
    <t>VAN QC Lab ensures that employees are provided with awareness on importance of confidentiality, and the disciplinary measures which may be taken in case of breach.</t>
  </si>
  <si>
    <t>Internal documentation is leaked from a computer system available at VAN QC Lab, which can lead to breach of confidentiality.</t>
  </si>
  <si>
    <t>Customer's information is leaked from a computer system available at VAN QC Lab, which can lead to breach of confidentiality.</t>
  </si>
  <si>
    <t>Unintentional violations of VAN QC Lab procedures due to lack of understanding of Lab Management System.</t>
  </si>
  <si>
    <t>Personnel at VAN QC Lab are provided regular trainings on Lab Management System procedures.</t>
  </si>
  <si>
    <t>VAN QC Lab has developed Authorization Forms, which ensure that all personnel are communicated about their authorized tests.</t>
  </si>
  <si>
    <t>VAN QC Lab ensures that equipment will have a regular preventive maintenance plan to prevent malfunctioning.</t>
  </si>
  <si>
    <t>VAN QC Lab ensures equipment are periodically calibrated through external sources.</t>
  </si>
  <si>
    <t>VAN QC Lab ensures evaluation suppliers before approving them for purchase of items.</t>
  </si>
  <si>
    <t>VAN QC Lab ensures that purchase requests are properly documents and purchased items are inspected before they are accepted.</t>
  </si>
  <si>
    <t>VAN QC Lab will implement inventory management system to ensure control over usage of chemicals and reagents.</t>
  </si>
  <si>
    <t>VAN QC Lab has installed air conditioners and monitors temperature regularly, to ensure that temperature remains within limits.</t>
  </si>
  <si>
    <t>VAN QC Lab has installed air conditioners and monitors humidity regularly, to ensure that humidity remains within limits.</t>
  </si>
  <si>
    <t>Shared equipment</t>
  </si>
  <si>
    <t>Same type of tests will be allocated to one chemist if its not possible time period will be specified for each analyst.</t>
  </si>
  <si>
    <t>Rev: 01</t>
  </si>
  <si>
    <r>
      <t>Ownership:</t>
    </r>
    <r>
      <rPr>
        <sz val="11"/>
        <color theme="1"/>
        <rFont val="Calibri"/>
        <family val="2"/>
        <scheme val="minor"/>
      </rPr>
      <t xml:space="preserve"> Conflicts of interest may arise if the laboratory is owned by entities with vested interests in the outcomes of tests or research.</t>
    </r>
  </si>
  <si>
    <r>
      <rPr>
        <b/>
        <sz val="11"/>
        <color theme="1"/>
        <rFont val="Calibri"/>
        <family val="2"/>
        <scheme val="minor"/>
      </rPr>
      <t>Governance:</t>
    </r>
    <r>
      <rPr>
        <sz val="11"/>
        <color theme="1"/>
        <rFont val="Calibri"/>
        <family val="2"/>
        <scheme val="minor"/>
      </rPr>
      <t xml:space="preserve"> Governance structures may favor certain stakeholders, leading to biased decision-making or prioritization of specific interests.</t>
    </r>
  </si>
  <si>
    <r>
      <rPr>
        <b/>
        <sz val="11"/>
        <color theme="1"/>
        <rFont val="Calibri"/>
        <family val="2"/>
        <scheme val="minor"/>
      </rPr>
      <t>Management:</t>
    </r>
    <r>
      <rPr>
        <sz val="11"/>
        <color theme="1"/>
        <rFont val="Calibri"/>
        <family val="2"/>
        <scheme val="minor"/>
      </rPr>
      <t xml:space="preserve"> Management decisions might be influenced by personal biases or external pressures, compromising impartiality.</t>
    </r>
  </si>
  <si>
    <r>
      <rPr>
        <b/>
        <sz val="11"/>
        <color theme="1"/>
        <rFont val="Calibri"/>
        <family val="2"/>
        <scheme val="minor"/>
      </rPr>
      <t>Shared Resources:</t>
    </r>
    <r>
      <rPr>
        <sz val="11"/>
        <color theme="1"/>
        <rFont val="Calibri"/>
        <family val="2"/>
        <scheme val="minor"/>
      </rPr>
      <t xml:space="preserve"> When multiple projects or entities share resources (like equipment or personnel), it may lead to favoritism or inequitable access.</t>
    </r>
  </si>
  <si>
    <t>Residual Risk</t>
  </si>
  <si>
    <t>QCM</t>
  </si>
  <si>
    <t>Nil</t>
  </si>
  <si>
    <t xml:space="preserve">QC Lab has Established clear ownership disclosure policies. QC Lab Implements regular audits to identify and mitigate conflicts of interest. </t>
  </si>
  <si>
    <t>QC lab has Formed an independent oversight committee to review governance practices and decisions. Regularly assess governance practices against ISO/IEC 17025 2017 standards.</t>
  </si>
  <si>
    <t>QC Lab QCL-LSP-11  for decision-making processes to minimize personal biases. Provide training on impartiality and ethical decision-making. Conduct regular reviews of management decisions and their impacts.</t>
  </si>
  <si>
    <t xml:space="preserve">QC Lab has Established clear protocols for resource allocation and usage. Monitor usage patterns to ensure fair access.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</si>
</sst>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2"/>
      <color theme="1"/>
      <name val="Times New Roman"/>
      <family val="1"/>
    </font>
    <font>
      <sz val="10"/>
      <color theme="1"/>
      <name val="Times New Roman"/>
      <family val="1"/>
    </font>
    <font>
      <b/>
      <sz val="9"/>
      <color theme="1"/>
      <name val="Times New Roman"/>
      <family val="1"/>
    </font>
    <font>
      <b/>
      <sz val="16"/>
      <color theme="1"/>
      <name val="Times New Roman"/>
      <family val="1"/>
    </font>
    <font>
      <b/>
      <sz val="14"/>
      <color theme="1"/>
      <name val="Times New Roman"/>
      <family val="1"/>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horizontal="right" vertical="center"/>
    </xf>
    <xf numFmtId="0" fontId="1" fillId="0" borderId="1" xfId="0" applyFont="1" applyBorder="1" applyAlignment="1">
      <alignment vertical="center" wrapText="1"/>
    </xf>
    <xf numFmtId="0" fontId="2"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9" fillId="0" borderId="1" xfId="0" applyFont="1" applyBorder="1" applyAlignment="1">
      <alignment vertical="center" wrapText="1"/>
    </xf>
    <xf numFmtId="0" fontId="2" fillId="4" borderId="1" xfId="0" applyFont="1" applyFill="1" applyBorder="1" applyAlignment="1">
      <alignment horizontal="center" vertical="center" wrapText="1"/>
    </xf>
    <xf numFmtId="15"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right" vertical="center"/>
    </xf>
    <xf numFmtId="0" fontId="7"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8" fillId="0" borderId="1" xfId="0" applyFont="1" applyBorder="1" applyAlignment="1">
      <alignment horizontal="center" vertical="center"/>
    </xf>
  </cellXfs>
  <cellStyles count="1">
    <cellStyle name="Normal" xfId="0" builtinId="0"/>
  </cellStyles>
  <dxfs count="3">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50800</xdr:rowOff>
    </xdr:from>
    <xdr:to>
      <xdr:col>1</xdr:col>
      <xdr:colOff>1645920</xdr:colOff>
      <xdr:row>2</xdr:row>
      <xdr:rowOff>223520</xdr:rowOff>
    </xdr:to>
    <xdr:pic>
      <xdr:nvPicPr>
        <xdr:cNvPr id="2" name="Picture 1">
          <a:extLst>
            <a:ext uri="{FF2B5EF4-FFF2-40B4-BE49-F238E27FC236}">
              <a16:creationId xmlns:a16="http://schemas.microsoft.com/office/drawing/2014/main" id="{D9ADC35E-8CBA-4DA5-BF53-9FD7BAAC07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50800"/>
          <a:ext cx="1788160" cy="6985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36286</xdr:colOff>
      <xdr:row>0</xdr:row>
      <xdr:rowOff>27214</xdr:rowOff>
    </xdr:from>
    <xdr:to>
      <xdr:col>0</xdr:col>
      <xdr:colOff>1156607</xdr:colOff>
      <xdr:row>2</xdr:row>
      <xdr:rowOff>145143</xdr:rowOff>
    </xdr:to>
    <xdr:pic>
      <xdr:nvPicPr>
        <xdr:cNvPr id="2" name="Picture 1">
          <a:extLst>
            <a:ext uri="{FF2B5EF4-FFF2-40B4-BE49-F238E27FC236}">
              <a16:creationId xmlns:a16="http://schemas.microsoft.com/office/drawing/2014/main" id="{E54AE6CF-D3B8-437C-A1A3-D91EF393B6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86" y="27214"/>
          <a:ext cx="1120321" cy="49892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100805</xdr:colOff>
      <xdr:row>0</xdr:row>
      <xdr:rowOff>57944</xdr:rowOff>
    </xdr:from>
    <xdr:to>
      <xdr:col>1</xdr:col>
      <xdr:colOff>742950</xdr:colOff>
      <xdr:row>2</xdr:row>
      <xdr:rowOff>203200</xdr:rowOff>
    </xdr:to>
    <xdr:pic>
      <xdr:nvPicPr>
        <xdr:cNvPr id="2" name="Picture 1">
          <a:extLst>
            <a:ext uri="{FF2B5EF4-FFF2-40B4-BE49-F238E27FC236}">
              <a16:creationId xmlns:a16="http://schemas.microsoft.com/office/drawing/2014/main" id="{5370CBFF-99B0-41ED-9404-CDC2195E0E7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05" y="57944"/>
          <a:ext cx="1524795" cy="65325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D2" sqref="D2"/>
    </sheetView>
  </sheetViews>
  <sheetFormatPr defaultColWidth="9.21875" defaultRowHeight="14.4" x14ac:dyDescent="0.3"/>
  <cols>
    <col min="1" max="3" width="9.21875" style="3"/>
    <col min="4" max="4" width="22" style="3" customWidth="1"/>
    <col min="5" max="16384" width="9.21875" style="3"/>
  </cols>
  <sheetData>
    <row r="2" spans="2:4" x14ac:dyDescent="0.3">
      <c r="B2" s="3">
        <v>1</v>
      </c>
      <c r="D2" s="3" t="s">
        <v>15</v>
      </c>
    </row>
    <row r="3" spans="2:4" x14ac:dyDescent="0.3">
      <c r="B3" s="3">
        <v>2</v>
      </c>
      <c r="D3" s="3" t="s">
        <v>16</v>
      </c>
    </row>
    <row r="4" spans="2:4" x14ac:dyDescent="0.3">
      <c r="B4" s="3">
        <v>3</v>
      </c>
      <c r="D4" s="3" t="s">
        <v>17</v>
      </c>
    </row>
    <row r="5" spans="2:4" x14ac:dyDescent="0.3">
      <c r="B5" s="3">
        <v>4</v>
      </c>
      <c r="D5" s="3" t="s">
        <v>18</v>
      </c>
    </row>
    <row r="6" spans="2:4" x14ac:dyDescent="0.3">
      <c r="B6" s="3">
        <v>5</v>
      </c>
      <c r="D6"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tabSelected="1" showWhiteSpace="0" view="pageLayout" zoomScaleNormal="100" workbookViewId="0">
      <selection activeCell="E40" sqref="E40"/>
    </sheetView>
  </sheetViews>
  <sheetFormatPr defaultColWidth="9.21875" defaultRowHeight="14.4" x14ac:dyDescent="0.3"/>
  <cols>
    <col min="1" max="1" width="3.44140625" style="1" customWidth="1"/>
    <col min="2" max="2" width="23.88671875" style="2" customWidth="1"/>
    <col min="3" max="4" width="2.5546875" style="1" customWidth="1"/>
    <col min="5" max="5" width="7.33203125" style="1" customWidth="1"/>
    <col min="6" max="6" width="17.21875" style="2" customWidth="1"/>
    <col min="7" max="7" width="15.33203125" style="1" customWidth="1"/>
    <col min="8" max="8" width="10.44140625" style="1" customWidth="1"/>
    <col min="9" max="9" width="10.6640625" style="1" customWidth="1"/>
    <col min="10" max="10" width="6.88671875" style="1" customWidth="1"/>
    <col min="11" max="11" width="10.88671875" style="1" customWidth="1"/>
    <col min="12" max="12" width="10.21875" style="1" customWidth="1"/>
    <col min="13" max="16384" width="9.21875" style="1"/>
  </cols>
  <sheetData>
    <row r="1" spans="1:12" ht="20.399999999999999" customHeight="1" x14ac:dyDescent="0.3">
      <c r="A1" s="36" t="s">
        <v>79</v>
      </c>
      <c r="B1" s="36"/>
      <c r="C1" s="35" t="s">
        <v>34</v>
      </c>
      <c r="D1" s="35"/>
      <c r="E1" s="35"/>
      <c r="F1" s="35"/>
      <c r="G1" s="35"/>
      <c r="H1" s="35"/>
      <c r="I1" s="37" t="s">
        <v>82</v>
      </c>
      <c r="J1" s="37"/>
      <c r="K1" s="37"/>
      <c r="L1" s="37"/>
    </row>
    <row r="2" spans="1:12" ht="21" customHeight="1" x14ac:dyDescent="0.3">
      <c r="A2" s="36"/>
      <c r="B2" s="36"/>
      <c r="C2" s="35"/>
      <c r="D2" s="35"/>
      <c r="E2" s="35"/>
      <c r="F2" s="35"/>
      <c r="G2" s="35"/>
      <c r="H2" s="35"/>
      <c r="I2" s="37" t="s">
        <v>80</v>
      </c>
      <c r="J2" s="37"/>
      <c r="K2" s="37"/>
      <c r="L2" s="37"/>
    </row>
    <row r="3" spans="1:12" ht="21" customHeight="1" x14ac:dyDescent="0.3">
      <c r="A3" s="36"/>
      <c r="B3" s="36"/>
      <c r="C3" s="35"/>
      <c r="D3" s="35"/>
      <c r="E3" s="35"/>
      <c r="F3" s="35"/>
      <c r="G3" s="35"/>
      <c r="H3" s="35"/>
      <c r="I3" s="37" t="s">
        <v>101</v>
      </c>
      <c r="J3" s="37"/>
      <c r="K3" s="37"/>
      <c r="L3" s="37"/>
    </row>
    <row r="4" spans="1:12" ht="19.05" customHeight="1" x14ac:dyDescent="0.3">
      <c r="A4" s="12"/>
      <c r="B4" s="8" t="s">
        <v>37</v>
      </c>
      <c r="C4" s="30"/>
      <c r="D4" s="31"/>
      <c r="E4" s="31"/>
      <c r="F4" s="9"/>
      <c r="G4" s="10"/>
      <c r="H4" s="10"/>
      <c r="I4" s="10"/>
      <c r="J4" s="10"/>
      <c r="K4" s="10"/>
      <c r="L4" s="11"/>
    </row>
    <row r="5" spans="1:12" ht="27" customHeight="1" x14ac:dyDescent="0.3">
      <c r="A5" s="29" t="s">
        <v>9</v>
      </c>
      <c r="B5" s="29"/>
      <c r="C5" s="29"/>
      <c r="D5" s="29"/>
      <c r="E5" s="29"/>
      <c r="F5" s="32" t="s">
        <v>5</v>
      </c>
      <c r="G5" s="33"/>
      <c r="H5" s="33"/>
      <c r="I5" s="33"/>
      <c r="J5" s="33"/>
      <c r="K5" s="33"/>
      <c r="L5" s="34"/>
    </row>
    <row r="6" spans="1:12" ht="40.5" customHeight="1" x14ac:dyDescent="0.3">
      <c r="A6" s="13" t="s">
        <v>0</v>
      </c>
      <c r="B6" s="13" t="s">
        <v>1</v>
      </c>
      <c r="C6" s="13" t="s">
        <v>2</v>
      </c>
      <c r="D6" s="13" t="s">
        <v>3</v>
      </c>
      <c r="E6" s="13" t="s">
        <v>4</v>
      </c>
      <c r="F6" s="13" t="s">
        <v>10</v>
      </c>
      <c r="G6" s="13" t="s">
        <v>6</v>
      </c>
      <c r="H6" s="13" t="s">
        <v>7</v>
      </c>
      <c r="I6" s="13" t="s">
        <v>36</v>
      </c>
      <c r="J6" s="13" t="s">
        <v>106</v>
      </c>
      <c r="K6" s="13" t="s">
        <v>8</v>
      </c>
      <c r="L6" s="13" t="s">
        <v>38</v>
      </c>
    </row>
    <row r="7" spans="1:12" ht="89.55" customHeight="1" x14ac:dyDescent="0.3">
      <c r="A7" s="4">
        <v>1</v>
      </c>
      <c r="B7" s="5" t="s">
        <v>42</v>
      </c>
      <c r="C7" s="4">
        <v>2</v>
      </c>
      <c r="D7" s="4">
        <v>5</v>
      </c>
      <c r="E7" s="4">
        <f>C7*D7</f>
        <v>10</v>
      </c>
      <c r="F7" s="5" t="s">
        <v>35</v>
      </c>
      <c r="G7" s="4" t="s">
        <v>107</v>
      </c>
      <c r="H7" s="6">
        <v>45354</v>
      </c>
      <c r="I7" s="6">
        <v>45354</v>
      </c>
      <c r="J7" s="1" t="s">
        <v>108</v>
      </c>
      <c r="K7" s="4" t="s">
        <v>15</v>
      </c>
      <c r="L7" s="27"/>
    </row>
    <row r="8" spans="1:12" ht="90.6" customHeight="1" x14ac:dyDescent="0.3">
      <c r="A8" s="4">
        <v>2</v>
      </c>
      <c r="B8" s="5" t="s">
        <v>39</v>
      </c>
      <c r="C8" s="4">
        <v>2</v>
      </c>
      <c r="D8" s="4">
        <v>5</v>
      </c>
      <c r="E8" s="4">
        <f t="shared" ref="E8:E51" si="0">C8*D8</f>
        <v>10</v>
      </c>
      <c r="F8" s="5" t="s">
        <v>40</v>
      </c>
      <c r="G8" s="4" t="s">
        <v>107</v>
      </c>
      <c r="H8" s="6">
        <v>45385</v>
      </c>
      <c r="I8" s="6">
        <v>45385</v>
      </c>
      <c r="J8" s="4" t="s">
        <v>108</v>
      </c>
      <c r="K8" s="4" t="s">
        <v>15</v>
      </c>
      <c r="L8" s="4"/>
    </row>
    <row r="9" spans="1:12" ht="83.4" customHeight="1" x14ac:dyDescent="0.3">
      <c r="A9" s="4">
        <v>3</v>
      </c>
      <c r="B9" s="14" t="s">
        <v>41</v>
      </c>
      <c r="C9" s="4">
        <v>2</v>
      </c>
      <c r="D9" s="4">
        <v>3</v>
      </c>
      <c r="E9" s="4">
        <f t="shared" si="0"/>
        <v>6</v>
      </c>
      <c r="F9" s="5" t="s">
        <v>35</v>
      </c>
      <c r="G9" s="4" t="s">
        <v>107</v>
      </c>
      <c r="H9" s="6">
        <v>45386</v>
      </c>
      <c r="I9" s="6">
        <v>45386</v>
      </c>
      <c r="J9" s="4" t="s">
        <v>108</v>
      </c>
      <c r="K9" s="4" t="s">
        <v>15</v>
      </c>
      <c r="L9" s="4"/>
    </row>
    <row r="10" spans="1:12" ht="90" customHeight="1" x14ac:dyDescent="0.3">
      <c r="A10" s="4">
        <v>4</v>
      </c>
      <c r="B10" s="5" t="s">
        <v>43</v>
      </c>
      <c r="C10" s="4">
        <v>2</v>
      </c>
      <c r="D10" s="4">
        <v>4</v>
      </c>
      <c r="E10" s="4">
        <f t="shared" si="0"/>
        <v>8</v>
      </c>
      <c r="F10" s="14" t="s">
        <v>44</v>
      </c>
      <c r="G10" s="4" t="s">
        <v>107</v>
      </c>
      <c r="H10" s="6">
        <v>45387</v>
      </c>
      <c r="I10" s="6">
        <v>45387</v>
      </c>
      <c r="J10" s="4" t="s">
        <v>108</v>
      </c>
      <c r="K10" s="4" t="s">
        <v>15</v>
      </c>
      <c r="L10" s="4"/>
    </row>
    <row r="11" spans="1:12" ht="24" customHeight="1" x14ac:dyDescent="0.3">
      <c r="A11" s="4">
        <v>5</v>
      </c>
      <c r="B11" s="7" t="s">
        <v>55</v>
      </c>
      <c r="C11" s="4"/>
      <c r="D11" s="4"/>
      <c r="E11" s="4">
        <f t="shared" si="0"/>
        <v>0</v>
      </c>
      <c r="F11" s="5"/>
      <c r="G11" s="4"/>
      <c r="H11" s="4"/>
      <c r="I11" s="6"/>
      <c r="J11" s="4"/>
      <c r="K11" s="4"/>
      <c r="L11" s="4"/>
    </row>
    <row r="12" spans="1:12" ht="130.80000000000001" customHeight="1" x14ac:dyDescent="0.3">
      <c r="A12" s="4">
        <v>6</v>
      </c>
      <c r="B12" s="5" t="s">
        <v>48</v>
      </c>
      <c r="C12" s="4">
        <v>1</v>
      </c>
      <c r="D12" s="4">
        <v>5</v>
      </c>
      <c r="E12" s="4">
        <f t="shared" si="0"/>
        <v>5</v>
      </c>
      <c r="F12" s="14" t="s">
        <v>84</v>
      </c>
      <c r="G12" s="4" t="s">
        <v>107</v>
      </c>
      <c r="H12" s="6">
        <v>45387</v>
      </c>
      <c r="I12" s="6">
        <v>45387</v>
      </c>
      <c r="J12" s="4" t="s">
        <v>108</v>
      </c>
      <c r="K12" s="4" t="s">
        <v>15</v>
      </c>
      <c r="L12" s="4"/>
    </row>
    <row r="13" spans="1:12" ht="120.6" customHeight="1" x14ac:dyDescent="0.3">
      <c r="A13" s="4">
        <v>7</v>
      </c>
      <c r="B13" s="5" t="s">
        <v>46</v>
      </c>
      <c r="C13" s="4">
        <v>1</v>
      </c>
      <c r="D13" s="4">
        <v>5</v>
      </c>
      <c r="E13" s="4">
        <f t="shared" si="0"/>
        <v>5</v>
      </c>
      <c r="F13" s="5" t="s">
        <v>51</v>
      </c>
      <c r="G13" s="4" t="s">
        <v>107</v>
      </c>
      <c r="H13" s="6">
        <v>45388</v>
      </c>
      <c r="I13" s="6">
        <v>45388</v>
      </c>
      <c r="J13" s="4" t="s">
        <v>108</v>
      </c>
      <c r="K13" s="4" t="s">
        <v>15</v>
      </c>
      <c r="L13" s="4"/>
    </row>
    <row r="14" spans="1:12" ht="116.4" customHeight="1" x14ac:dyDescent="0.3">
      <c r="A14" s="4">
        <v>8</v>
      </c>
      <c r="B14" s="14" t="s">
        <v>45</v>
      </c>
      <c r="C14" s="4">
        <v>1</v>
      </c>
      <c r="D14" s="4">
        <v>5</v>
      </c>
      <c r="E14" s="4">
        <f t="shared" si="0"/>
        <v>5</v>
      </c>
      <c r="F14" s="5" t="s">
        <v>51</v>
      </c>
      <c r="G14" s="4" t="s">
        <v>107</v>
      </c>
      <c r="H14" s="6">
        <v>45390</v>
      </c>
      <c r="I14" s="6">
        <v>45390</v>
      </c>
      <c r="J14" s="4" t="s">
        <v>108</v>
      </c>
      <c r="K14" s="4" t="s">
        <v>15</v>
      </c>
      <c r="L14" s="4"/>
    </row>
    <row r="15" spans="1:12" ht="86.4" customHeight="1" x14ac:dyDescent="0.3">
      <c r="A15" s="4">
        <v>9</v>
      </c>
      <c r="B15" s="14" t="s">
        <v>52</v>
      </c>
      <c r="C15" s="4">
        <v>1</v>
      </c>
      <c r="D15" s="4">
        <v>5</v>
      </c>
      <c r="E15" s="4">
        <f t="shared" si="0"/>
        <v>5</v>
      </c>
      <c r="F15" s="14" t="s">
        <v>53</v>
      </c>
      <c r="G15" s="4" t="s">
        <v>107</v>
      </c>
      <c r="H15" s="6">
        <v>45391</v>
      </c>
      <c r="I15" s="6">
        <v>45391</v>
      </c>
      <c r="J15" s="4" t="s">
        <v>108</v>
      </c>
      <c r="K15" s="4" t="s">
        <v>15</v>
      </c>
      <c r="L15" s="4"/>
    </row>
    <row r="16" spans="1:12" ht="129.6" customHeight="1" x14ac:dyDescent="0.3">
      <c r="A16" s="4">
        <v>10</v>
      </c>
      <c r="B16" s="14" t="s">
        <v>47</v>
      </c>
      <c r="C16" s="4">
        <v>1</v>
      </c>
      <c r="D16" s="4">
        <v>5</v>
      </c>
      <c r="E16" s="4">
        <f t="shared" si="0"/>
        <v>5</v>
      </c>
      <c r="F16" s="14" t="s">
        <v>84</v>
      </c>
      <c r="G16" s="4" t="s">
        <v>107</v>
      </c>
      <c r="H16" s="6">
        <v>45392</v>
      </c>
      <c r="I16" s="6">
        <v>45392</v>
      </c>
      <c r="J16" s="4" t="s">
        <v>108</v>
      </c>
      <c r="K16" s="4" t="s">
        <v>15</v>
      </c>
      <c r="L16" s="4"/>
    </row>
    <row r="17" spans="1:12" ht="117.6" customHeight="1" x14ac:dyDescent="0.3">
      <c r="A17" s="4">
        <v>11</v>
      </c>
      <c r="B17" s="14" t="s">
        <v>49</v>
      </c>
      <c r="C17" s="4">
        <v>1</v>
      </c>
      <c r="D17" s="4">
        <v>5</v>
      </c>
      <c r="E17" s="4">
        <f t="shared" si="0"/>
        <v>5</v>
      </c>
      <c r="F17" s="14" t="s">
        <v>85</v>
      </c>
      <c r="G17" s="4" t="s">
        <v>107</v>
      </c>
      <c r="H17" s="6">
        <v>45393</v>
      </c>
      <c r="I17" s="6">
        <v>45393</v>
      </c>
      <c r="J17" s="4" t="s">
        <v>108</v>
      </c>
      <c r="K17" s="4" t="s">
        <v>15</v>
      </c>
      <c r="L17" s="4"/>
    </row>
    <row r="18" spans="1:12" ht="159" customHeight="1" x14ac:dyDescent="0.3">
      <c r="A18" s="4">
        <v>12</v>
      </c>
      <c r="B18" s="28" t="s">
        <v>102</v>
      </c>
      <c r="C18" s="4">
        <v>1</v>
      </c>
      <c r="D18" s="4">
        <v>5</v>
      </c>
      <c r="E18" s="4">
        <f t="shared" si="0"/>
        <v>5</v>
      </c>
      <c r="F18" s="26" t="s">
        <v>109</v>
      </c>
      <c r="G18" s="4" t="s">
        <v>107</v>
      </c>
      <c r="H18" s="6">
        <v>45551</v>
      </c>
      <c r="I18" s="6">
        <v>45398</v>
      </c>
      <c r="J18" s="4" t="s">
        <v>108</v>
      </c>
      <c r="K18" s="4" t="s">
        <v>15</v>
      </c>
      <c r="L18" s="4"/>
    </row>
    <row r="19" spans="1:12" ht="206.4" customHeight="1" x14ac:dyDescent="0.3">
      <c r="A19" s="4">
        <v>13</v>
      </c>
      <c r="B19" s="26" t="s">
        <v>103</v>
      </c>
      <c r="C19" s="4">
        <v>1</v>
      </c>
      <c r="D19" s="4">
        <v>5</v>
      </c>
      <c r="E19" s="4">
        <f>C19*D19</f>
        <v>5</v>
      </c>
      <c r="F19" s="26" t="s">
        <v>110</v>
      </c>
      <c r="G19" s="4" t="s">
        <v>107</v>
      </c>
      <c r="H19" s="6">
        <v>45551</v>
      </c>
      <c r="I19" s="6">
        <v>45551</v>
      </c>
      <c r="J19" s="4" t="s">
        <v>108</v>
      </c>
      <c r="K19" s="4" t="s">
        <v>15</v>
      </c>
      <c r="L19" s="4"/>
    </row>
    <row r="20" spans="1:12" ht="229.8" customHeight="1" x14ac:dyDescent="0.3">
      <c r="A20" s="4">
        <v>14</v>
      </c>
      <c r="B20" s="26" t="s">
        <v>104</v>
      </c>
      <c r="C20" s="4">
        <v>1</v>
      </c>
      <c r="D20" s="4">
        <v>5</v>
      </c>
      <c r="E20" s="4">
        <f>C20*D20</f>
        <v>5</v>
      </c>
      <c r="F20" s="26" t="s">
        <v>111</v>
      </c>
      <c r="G20" s="4" t="s">
        <v>107</v>
      </c>
      <c r="H20" s="6">
        <v>45397</v>
      </c>
      <c r="I20" s="6">
        <v>45552</v>
      </c>
      <c r="J20" s="4" t="s">
        <v>108</v>
      </c>
      <c r="K20" s="4" t="s">
        <v>15</v>
      </c>
      <c r="L20" s="4"/>
    </row>
    <row r="21" spans="1:12" ht="176.4" customHeight="1" x14ac:dyDescent="0.3">
      <c r="A21" s="4">
        <v>15</v>
      </c>
      <c r="B21" s="26" t="s">
        <v>105</v>
      </c>
      <c r="C21" s="4">
        <v>1</v>
      </c>
      <c r="D21" s="4">
        <v>5</v>
      </c>
      <c r="E21" s="4">
        <f>C21*D21</f>
        <v>5</v>
      </c>
      <c r="F21" s="26" t="s">
        <v>112</v>
      </c>
      <c r="G21" s="4" t="s">
        <v>107</v>
      </c>
      <c r="H21" s="6">
        <v>45551</v>
      </c>
      <c r="I21" s="6">
        <v>45551</v>
      </c>
      <c r="J21" s="4" t="s">
        <v>108</v>
      </c>
      <c r="K21" s="4" t="s">
        <v>15</v>
      </c>
      <c r="L21" s="4"/>
    </row>
    <row r="22" spans="1:12" ht="130.80000000000001" customHeight="1" x14ac:dyDescent="0.3">
      <c r="A22" s="4">
        <v>16</v>
      </c>
      <c r="B22" s="14" t="s">
        <v>50</v>
      </c>
      <c r="C22" s="4">
        <v>3</v>
      </c>
      <c r="D22" s="4">
        <v>5</v>
      </c>
      <c r="E22" s="4">
        <f t="shared" si="0"/>
        <v>15</v>
      </c>
      <c r="F22" s="14" t="s">
        <v>54</v>
      </c>
      <c r="G22" s="4" t="s">
        <v>107</v>
      </c>
      <c r="H22" s="6">
        <v>45398</v>
      </c>
      <c r="I22" s="6">
        <v>45398</v>
      </c>
      <c r="J22" s="4" t="s">
        <v>108</v>
      </c>
      <c r="K22" s="4" t="s">
        <v>15</v>
      </c>
      <c r="L22" s="4"/>
    </row>
    <row r="23" spans="1:12" ht="34.950000000000003" customHeight="1" x14ac:dyDescent="0.3">
      <c r="A23" s="4">
        <v>17</v>
      </c>
      <c r="B23" s="7" t="s">
        <v>56</v>
      </c>
      <c r="C23" s="4"/>
      <c r="D23" s="4"/>
      <c r="E23" s="4"/>
      <c r="F23" s="5"/>
      <c r="G23" s="4"/>
      <c r="H23" s="6"/>
      <c r="I23" s="6"/>
      <c r="J23" s="4"/>
      <c r="K23" s="4"/>
      <c r="L23" s="4"/>
    </row>
    <row r="24" spans="1:12" ht="133.80000000000001" customHeight="1" x14ac:dyDescent="0.3">
      <c r="A24" s="4">
        <v>18</v>
      </c>
      <c r="B24" s="5" t="s">
        <v>57</v>
      </c>
      <c r="C24" s="4">
        <v>1</v>
      </c>
      <c r="D24" s="4">
        <v>5</v>
      </c>
      <c r="E24" s="4">
        <f t="shared" si="0"/>
        <v>5</v>
      </c>
      <c r="F24" s="14" t="s">
        <v>86</v>
      </c>
      <c r="G24" s="4" t="s">
        <v>107</v>
      </c>
      <c r="H24" s="6">
        <v>45400</v>
      </c>
      <c r="I24" s="6">
        <v>45400</v>
      </c>
      <c r="J24" s="4" t="s">
        <v>108</v>
      </c>
      <c r="K24" s="4" t="s">
        <v>15</v>
      </c>
      <c r="L24" s="4"/>
    </row>
    <row r="25" spans="1:12" ht="81.599999999999994" customHeight="1" x14ac:dyDescent="0.3">
      <c r="A25" s="4">
        <v>19</v>
      </c>
      <c r="B25" s="14" t="s">
        <v>88</v>
      </c>
      <c r="C25" s="4">
        <v>1</v>
      </c>
      <c r="D25" s="4">
        <v>5</v>
      </c>
      <c r="E25" s="4">
        <f t="shared" si="0"/>
        <v>5</v>
      </c>
      <c r="F25" s="14" t="s">
        <v>35</v>
      </c>
      <c r="G25" s="4" t="s">
        <v>107</v>
      </c>
      <c r="H25" s="6">
        <v>45401</v>
      </c>
      <c r="I25" s="6">
        <v>45401</v>
      </c>
      <c r="J25" s="4" t="s">
        <v>108</v>
      </c>
      <c r="K25" s="4" t="s">
        <v>15</v>
      </c>
      <c r="L25" s="4"/>
    </row>
    <row r="26" spans="1:12" ht="73.2" customHeight="1" x14ac:dyDescent="0.3">
      <c r="A26" s="4">
        <v>20</v>
      </c>
      <c r="B26" s="14" t="s">
        <v>87</v>
      </c>
      <c r="C26" s="4">
        <v>1</v>
      </c>
      <c r="D26" s="4">
        <v>4</v>
      </c>
      <c r="E26" s="4">
        <f t="shared" si="0"/>
        <v>4</v>
      </c>
      <c r="F26" s="14" t="s">
        <v>35</v>
      </c>
      <c r="G26" s="4" t="s">
        <v>107</v>
      </c>
      <c r="H26" s="6">
        <v>45402</v>
      </c>
      <c r="I26" s="6">
        <v>45402</v>
      </c>
      <c r="J26" s="4" t="s">
        <v>108</v>
      </c>
      <c r="K26" s="4" t="s">
        <v>15</v>
      </c>
      <c r="L26" s="4"/>
    </row>
    <row r="27" spans="1:12" ht="132.6" customHeight="1" x14ac:dyDescent="0.3">
      <c r="A27" s="4">
        <v>21</v>
      </c>
      <c r="B27" s="5" t="s">
        <v>58</v>
      </c>
      <c r="C27" s="4">
        <v>1</v>
      </c>
      <c r="D27" s="4">
        <v>5</v>
      </c>
      <c r="E27" s="4">
        <f t="shared" si="0"/>
        <v>5</v>
      </c>
      <c r="F27" s="14" t="s">
        <v>59</v>
      </c>
      <c r="G27" s="4" t="s">
        <v>107</v>
      </c>
      <c r="H27" s="6">
        <v>45403</v>
      </c>
      <c r="I27" s="6">
        <v>45403</v>
      </c>
      <c r="J27" s="4" t="s">
        <v>108</v>
      </c>
      <c r="K27" s="4" t="s">
        <v>15</v>
      </c>
      <c r="L27" s="4"/>
    </row>
    <row r="28" spans="1:12" ht="101.4" customHeight="1" x14ac:dyDescent="0.3">
      <c r="A28" s="4">
        <v>22</v>
      </c>
      <c r="B28" s="5" t="s">
        <v>60</v>
      </c>
      <c r="C28" s="4">
        <v>2</v>
      </c>
      <c r="D28" s="4">
        <v>5</v>
      </c>
      <c r="E28" s="4">
        <f t="shared" si="0"/>
        <v>10</v>
      </c>
      <c r="F28" s="14" t="s">
        <v>61</v>
      </c>
      <c r="G28" s="4" t="s">
        <v>107</v>
      </c>
      <c r="H28" s="6">
        <v>45404</v>
      </c>
      <c r="I28" s="6">
        <v>45404</v>
      </c>
      <c r="J28" s="4" t="s">
        <v>108</v>
      </c>
      <c r="K28" s="4" t="s">
        <v>15</v>
      </c>
      <c r="L28" s="4"/>
    </row>
    <row r="29" spans="1:12" ht="23.55" customHeight="1" x14ac:dyDescent="0.3">
      <c r="A29" s="4">
        <v>23</v>
      </c>
      <c r="B29" s="7" t="s">
        <v>62</v>
      </c>
      <c r="C29" s="4"/>
      <c r="D29" s="4"/>
      <c r="E29" s="4"/>
      <c r="F29" s="5"/>
      <c r="G29" s="4"/>
      <c r="H29" s="6"/>
      <c r="I29" s="6"/>
      <c r="J29" s="4"/>
      <c r="K29" s="4"/>
      <c r="L29" s="4"/>
    </row>
    <row r="30" spans="1:12" ht="121.2" customHeight="1" x14ac:dyDescent="0.3">
      <c r="A30" s="4">
        <v>24</v>
      </c>
      <c r="B30" s="14" t="s">
        <v>63</v>
      </c>
      <c r="C30" s="4">
        <v>1</v>
      </c>
      <c r="D30" s="4">
        <v>4</v>
      </c>
      <c r="E30" s="4">
        <f t="shared" si="0"/>
        <v>4</v>
      </c>
      <c r="F30" s="14" t="s">
        <v>64</v>
      </c>
      <c r="G30" s="4" t="s">
        <v>107</v>
      </c>
      <c r="H30" s="6">
        <v>45406</v>
      </c>
      <c r="I30" s="6">
        <v>45406</v>
      </c>
      <c r="J30" s="4" t="s">
        <v>108</v>
      </c>
      <c r="K30" s="4" t="s">
        <v>15</v>
      </c>
      <c r="L30" s="4"/>
    </row>
    <row r="31" spans="1:12" ht="78" customHeight="1" x14ac:dyDescent="0.3">
      <c r="A31" s="4">
        <v>25</v>
      </c>
      <c r="B31" s="14" t="s">
        <v>89</v>
      </c>
      <c r="C31" s="4">
        <v>2</v>
      </c>
      <c r="D31" s="4">
        <v>3</v>
      </c>
      <c r="E31" s="4">
        <f t="shared" si="0"/>
        <v>6</v>
      </c>
      <c r="F31" s="14" t="s">
        <v>90</v>
      </c>
      <c r="G31" s="4" t="s">
        <v>107</v>
      </c>
      <c r="H31" s="6">
        <v>45407</v>
      </c>
      <c r="I31" s="6">
        <v>45407</v>
      </c>
      <c r="J31" s="4" t="s">
        <v>108</v>
      </c>
      <c r="K31" s="4" t="s">
        <v>15</v>
      </c>
      <c r="L31" s="4"/>
    </row>
    <row r="32" spans="1:12" ht="94.2" customHeight="1" x14ac:dyDescent="0.3">
      <c r="A32" s="4">
        <v>26</v>
      </c>
      <c r="B32" s="5" t="s">
        <v>65</v>
      </c>
      <c r="C32" s="4">
        <v>2</v>
      </c>
      <c r="D32" s="4">
        <v>5</v>
      </c>
      <c r="E32" s="4">
        <f t="shared" si="0"/>
        <v>10</v>
      </c>
      <c r="F32" s="14" t="s">
        <v>91</v>
      </c>
      <c r="G32" s="4" t="s">
        <v>107</v>
      </c>
      <c r="H32" s="6">
        <v>45408</v>
      </c>
      <c r="I32" s="6">
        <v>45408</v>
      </c>
      <c r="J32" s="4" t="s">
        <v>108</v>
      </c>
      <c r="K32" s="4" t="s">
        <v>15</v>
      </c>
      <c r="L32" s="4"/>
    </row>
    <row r="33" spans="1:12" ht="24.45" customHeight="1" x14ac:dyDescent="0.3">
      <c r="A33" s="4">
        <v>27</v>
      </c>
      <c r="B33" s="7" t="s">
        <v>66</v>
      </c>
      <c r="C33" s="4"/>
      <c r="D33" s="4"/>
      <c r="E33" s="4"/>
      <c r="F33" s="5"/>
      <c r="G33" s="4"/>
      <c r="H33" s="6"/>
      <c r="I33" s="6"/>
      <c r="J33" s="4"/>
      <c r="K33" s="4"/>
      <c r="L33" s="4"/>
    </row>
    <row r="34" spans="1:12" ht="102.6" customHeight="1" x14ac:dyDescent="0.3">
      <c r="A34" s="4">
        <v>28</v>
      </c>
      <c r="B34" s="5" t="s">
        <v>67</v>
      </c>
      <c r="C34" s="4">
        <v>2</v>
      </c>
      <c r="D34" s="4">
        <v>3</v>
      </c>
      <c r="E34" s="4">
        <f t="shared" si="0"/>
        <v>6</v>
      </c>
      <c r="F34" s="14" t="s">
        <v>92</v>
      </c>
      <c r="G34" s="4" t="s">
        <v>107</v>
      </c>
      <c r="H34" s="6">
        <v>45410</v>
      </c>
      <c r="I34" s="6">
        <v>45410</v>
      </c>
      <c r="J34" s="4" t="s">
        <v>108</v>
      </c>
      <c r="K34" s="4" t="s">
        <v>15</v>
      </c>
      <c r="L34" s="4"/>
    </row>
    <row r="35" spans="1:12" ht="86.4" customHeight="1" x14ac:dyDescent="0.3">
      <c r="A35" s="4">
        <v>29</v>
      </c>
      <c r="B35" s="5" t="s">
        <v>99</v>
      </c>
      <c r="C35" s="4">
        <v>2</v>
      </c>
      <c r="D35" s="4">
        <v>3</v>
      </c>
      <c r="E35" s="4">
        <f t="shared" si="0"/>
        <v>6</v>
      </c>
      <c r="F35" s="14" t="s">
        <v>100</v>
      </c>
      <c r="G35" s="4" t="s">
        <v>107</v>
      </c>
      <c r="H35" s="6">
        <v>45411</v>
      </c>
      <c r="I35" s="6">
        <v>45411</v>
      </c>
      <c r="J35" s="4" t="s">
        <v>108</v>
      </c>
      <c r="K35" s="4" t="s">
        <v>15</v>
      </c>
      <c r="L35" s="4"/>
    </row>
    <row r="36" spans="1:12" ht="75" customHeight="1" x14ac:dyDescent="0.3">
      <c r="A36" s="4">
        <v>30</v>
      </c>
      <c r="B36" s="5" t="s">
        <v>68</v>
      </c>
      <c r="C36" s="4">
        <v>2</v>
      </c>
      <c r="D36" s="4">
        <v>3</v>
      </c>
      <c r="E36" s="4">
        <f t="shared" si="0"/>
        <v>6</v>
      </c>
      <c r="F36" s="14" t="s">
        <v>93</v>
      </c>
      <c r="G36" s="4" t="s">
        <v>107</v>
      </c>
      <c r="H36" s="6">
        <v>45412</v>
      </c>
      <c r="I36" s="6">
        <v>45412</v>
      </c>
      <c r="J36" s="4" t="s">
        <v>108</v>
      </c>
      <c r="K36" s="4" t="s">
        <v>15</v>
      </c>
      <c r="L36" s="4"/>
    </row>
    <row r="37" spans="1:12" ht="19.95" customHeight="1" x14ac:dyDescent="0.3">
      <c r="A37" s="4">
        <v>31</v>
      </c>
      <c r="B37" s="7" t="s">
        <v>69</v>
      </c>
      <c r="C37" s="4"/>
      <c r="D37" s="4"/>
      <c r="E37" s="4"/>
      <c r="F37" s="5"/>
      <c r="G37" s="4"/>
      <c r="H37" s="6"/>
      <c r="I37" s="6"/>
      <c r="J37" s="4"/>
      <c r="K37" s="4"/>
      <c r="L37" s="4"/>
    </row>
    <row r="38" spans="1:12" ht="72.599999999999994" customHeight="1" x14ac:dyDescent="0.3">
      <c r="A38" s="4">
        <v>32</v>
      </c>
      <c r="B38" s="5" t="s">
        <v>70</v>
      </c>
      <c r="C38" s="4">
        <v>1</v>
      </c>
      <c r="D38" s="4">
        <v>4</v>
      </c>
      <c r="E38" s="4">
        <f t="shared" si="0"/>
        <v>4</v>
      </c>
      <c r="F38" s="14" t="s">
        <v>94</v>
      </c>
      <c r="G38" s="4" t="s">
        <v>107</v>
      </c>
      <c r="H38" s="6">
        <v>45414</v>
      </c>
      <c r="I38" s="6">
        <v>45414</v>
      </c>
      <c r="J38" s="4" t="s">
        <v>108</v>
      </c>
      <c r="K38" s="4" t="s">
        <v>15</v>
      </c>
      <c r="L38" s="4"/>
    </row>
    <row r="39" spans="1:12" ht="101.4" customHeight="1" x14ac:dyDescent="0.3">
      <c r="A39" s="4">
        <v>33</v>
      </c>
      <c r="B39" s="5" t="s">
        <v>71</v>
      </c>
      <c r="C39" s="4">
        <v>1</v>
      </c>
      <c r="D39" s="4">
        <v>4</v>
      </c>
      <c r="E39" s="4">
        <f t="shared" si="0"/>
        <v>4</v>
      </c>
      <c r="F39" s="14" t="s">
        <v>95</v>
      </c>
      <c r="G39" s="4" t="s">
        <v>107</v>
      </c>
      <c r="H39" s="6">
        <v>45415</v>
      </c>
      <c r="I39" s="6">
        <v>45415</v>
      </c>
      <c r="J39" s="4" t="s">
        <v>108</v>
      </c>
      <c r="K39" s="4" t="s">
        <v>15</v>
      </c>
      <c r="L39" s="4"/>
    </row>
    <row r="40" spans="1:12" ht="21" customHeight="1" x14ac:dyDescent="0.3">
      <c r="A40" s="4">
        <v>34</v>
      </c>
      <c r="B40" s="7" t="s">
        <v>72</v>
      </c>
      <c r="C40" s="4"/>
      <c r="D40" s="4"/>
      <c r="E40" s="4"/>
      <c r="F40" s="5"/>
      <c r="G40" s="4"/>
      <c r="H40" s="6"/>
      <c r="I40" s="6"/>
      <c r="J40" s="4"/>
      <c r="K40" s="4"/>
      <c r="L40" s="4"/>
    </row>
    <row r="41" spans="1:12" ht="71.400000000000006" customHeight="1" x14ac:dyDescent="0.3">
      <c r="A41" s="4">
        <v>35</v>
      </c>
      <c r="B41" s="14" t="s">
        <v>73</v>
      </c>
      <c r="C41" s="4">
        <v>1</v>
      </c>
      <c r="D41" s="4">
        <v>4</v>
      </c>
      <c r="E41" s="4">
        <f t="shared" si="0"/>
        <v>4</v>
      </c>
      <c r="F41" s="14" t="s">
        <v>74</v>
      </c>
      <c r="G41" s="4" t="s">
        <v>107</v>
      </c>
      <c r="H41" s="6">
        <v>45417</v>
      </c>
      <c r="I41" s="6">
        <v>45417</v>
      </c>
      <c r="J41" s="4" t="s">
        <v>108</v>
      </c>
      <c r="K41" s="4" t="s">
        <v>15</v>
      </c>
      <c r="L41" s="4"/>
    </row>
    <row r="42" spans="1:12" ht="95.4" customHeight="1" x14ac:dyDescent="0.3">
      <c r="A42" s="4">
        <v>36</v>
      </c>
      <c r="B42" s="5" t="s">
        <v>75</v>
      </c>
      <c r="C42" s="4">
        <v>1</v>
      </c>
      <c r="D42" s="4">
        <v>4</v>
      </c>
      <c r="E42" s="4">
        <f t="shared" si="0"/>
        <v>4</v>
      </c>
      <c r="F42" s="14" t="s">
        <v>96</v>
      </c>
      <c r="G42" s="4" t="s">
        <v>107</v>
      </c>
      <c r="H42" s="6">
        <v>45418</v>
      </c>
      <c r="I42" s="6">
        <v>45418</v>
      </c>
      <c r="J42" s="4" t="s">
        <v>108</v>
      </c>
      <c r="K42" s="4" t="s">
        <v>15</v>
      </c>
      <c r="L42" s="4"/>
    </row>
    <row r="43" spans="1:12" ht="22.05" customHeight="1" x14ac:dyDescent="0.3">
      <c r="A43" s="4">
        <v>37</v>
      </c>
      <c r="B43" s="7" t="s">
        <v>76</v>
      </c>
      <c r="C43" s="4"/>
      <c r="D43" s="4"/>
      <c r="E43" s="4"/>
      <c r="F43" s="5"/>
      <c r="G43" s="4"/>
      <c r="H43" s="6"/>
      <c r="I43" s="6"/>
      <c r="J43" s="4"/>
      <c r="K43" s="4"/>
      <c r="L43" s="4"/>
    </row>
    <row r="44" spans="1:12" ht="103.8" customHeight="1" x14ac:dyDescent="0.3">
      <c r="A44" s="4">
        <v>38</v>
      </c>
      <c r="B44" s="5" t="s">
        <v>77</v>
      </c>
      <c r="C44" s="4">
        <v>5</v>
      </c>
      <c r="D44" s="4">
        <v>3</v>
      </c>
      <c r="E44" s="4">
        <f t="shared" si="0"/>
        <v>15</v>
      </c>
      <c r="F44" s="14" t="s">
        <v>97</v>
      </c>
      <c r="G44" s="4" t="s">
        <v>107</v>
      </c>
      <c r="H44" s="6">
        <v>45420</v>
      </c>
      <c r="I44" s="6">
        <v>45420</v>
      </c>
      <c r="J44" s="4" t="s">
        <v>108</v>
      </c>
      <c r="K44" s="4" t="s">
        <v>15</v>
      </c>
      <c r="L44" s="4"/>
    </row>
    <row r="45" spans="1:12" ht="96.6" customHeight="1" x14ac:dyDescent="0.3">
      <c r="A45" s="4">
        <v>39</v>
      </c>
      <c r="B45" s="5" t="s">
        <v>78</v>
      </c>
      <c r="C45" s="4">
        <v>5</v>
      </c>
      <c r="D45" s="4">
        <v>3</v>
      </c>
      <c r="E45" s="4">
        <f t="shared" si="0"/>
        <v>15</v>
      </c>
      <c r="F45" s="14" t="s">
        <v>98</v>
      </c>
      <c r="G45" s="4" t="s">
        <v>107</v>
      </c>
      <c r="H45" s="6">
        <v>45421</v>
      </c>
      <c r="I45" s="6">
        <v>45421</v>
      </c>
      <c r="J45" s="4" t="s">
        <v>108</v>
      </c>
      <c r="K45" s="4" t="s">
        <v>15</v>
      </c>
      <c r="L45" s="4"/>
    </row>
    <row r="46" spans="1:12" x14ac:dyDescent="0.3">
      <c r="A46" s="4">
        <v>40</v>
      </c>
      <c r="B46" s="5"/>
      <c r="C46" s="4"/>
      <c r="D46" s="4"/>
      <c r="E46" s="4">
        <f t="shared" si="0"/>
        <v>0</v>
      </c>
      <c r="F46" s="5"/>
      <c r="G46" s="4"/>
      <c r="H46" s="4"/>
      <c r="I46" s="4"/>
      <c r="J46" s="4"/>
      <c r="K46" s="4"/>
      <c r="L46" s="4"/>
    </row>
    <row r="47" spans="1:12" x14ac:dyDescent="0.3">
      <c r="A47" s="4">
        <v>41</v>
      </c>
      <c r="B47" s="5"/>
      <c r="C47" s="4"/>
      <c r="D47" s="4"/>
      <c r="E47" s="4">
        <f t="shared" si="0"/>
        <v>0</v>
      </c>
      <c r="F47" s="5"/>
      <c r="G47" s="4"/>
      <c r="H47" s="4"/>
      <c r="I47" s="4"/>
      <c r="J47" s="4"/>
      <c r="K47" s="4"/>
      <c r="L47" s="4"/>
    </row>
    <row r="48" spans="1:12" x14ac:dyDescent="0.3">
      <c r="A48" s="4">
        <v>42</v>
      </c>
      <c r="B48" s="5"/>
      <c r="C48" s="4"/>
      <c r="D48" s="4"/>
      <c r="E48" s="4">
        <f t="shared" si="0"/>
        <v>0</v>
      </c>
      <c r="F48" s="5"/>
      <c r="G48" s="4"/>
      <c r="H48" s="4"/>
      <c r="I48" s="4"/>
      <c r="J48" s="4"/>
      <c r="K48" s="4"/>
      <c r="L48" s="4"/>
    </row>
    <row r="49" spans="1:12" x14ac:dyDescent="0.3">
      <c r="A49" s="4">
        <v>43</v>
      </c>
      <c r="B49" s="5"/>
      <c r="C49" s="4"/>
      <c r="D49" s="4"/>
      <c r="E49" s="4">
        <f t="shared" si="0"/>
        <v>0</v>
      </c>
      <c r="F49" s="5"/>
      <c r="G49" s="4"/>
      <c r="H49" s="4"/>
      <c r="I49" s="4"/>
      <c r="J49" s="4"/>
      <c r="K49" s="4"/>
      <c r="L49" s="4"/>
    </row>
    <row r="50" spans="1:12" x14ac:dyDescent="0.3">
      <c r="A50" s="4">
        <v>44</v>
      </c>
      <c r="B50" s="5"/>
      <c r="C50" s="4"/>
      <c r="D50" s="4"/>
      <c r="E50" s="4">
        <f t="shared" si="0"/>
        <v>0</v>
      </c>
      <c r="F50" s="5"/>
      <c r="G50" s="4"/>
      <c r="H50" s="4"/>
      <c r="I50" s="4"/>
      <c r="J50" s="4"/>
      <c r="K50" s="4"/>
      <c r="L50" s="4"/>
    </row>
    <row r="51" spans="1:12" x14ac:dyDescent="0.3">
      <c r="A51" s="4">
        <v>45</v>
      </c>
      <c r="B51" s="5"/>
      <c r="C51" s="4"/>
      <c r="D51" s="4"/>
      <c r="E51" s="4">
        <f t="shared" si="0"/>
        <v>0</v>
      </c>
      <c r="F51" s="5"/>
      <c r="G51" s="4"/>
      <c r="H51" s="4"/>
      <c r="I51" s="4"/>
      <c r="J51" s="4"/>
      <c r="K51" s="4"/>
      <c r="L51" s="4"/>
    </row>
  </sheetData>
  <mergeCells count="8">
    <mergeCell ref="A5:E5"/>
    <mergeCell ref="C4:E4"/>
    <mergeCell ref="F5:L5"/>
    <mergeCell ref="C1:H3"/>
    <mergeCell ref="A1:B3"/>
    <mergeCell ref="I1:L1"/>
    <mergeCell ref="I2:L2"/>
    <mergeCell ref="I3:L3"/>
  </mergeCells>
  <conditionalFormatting sqref="E7:E51">
    <cfRule type="cellIs" dxfId="2" priority="1" operator="between">
      <formula>15</formula>
      <formula>25</formula>
    </cfRule>
    <cfRule type="cellIs" dxfId="1" priority="2" operator="between">
      <formula>4</formula>
      <formula>12</formula>
    </cfRule>
    <cfRule type="cellIs" dxfId="0" priority="3" operator="between">
      <formula>1</formula>
      <formula>3</formula>
    </cfRule>
  </conditionalFormatting>
  <pageMargins left="0.7" right="0.7" top="0.75" bottom="0.75" header="0.3" footer="0.3"/>
  <pageSetup orientation="landscape" r:id="rId1"/>
  <headerFooter>
    <oddFooter>Page &amp;P of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'DO NOT EDIT'!$B$2:$B$6</xm:f>
          </x14:formula1>
          <xm:sqref>C7:D51</xm:sqref>
        </x14:dataValidation>
        <x14:dataValidation type="list" allowBlank="1" showInputMessage="1" showErrorMessage="1" xr:uid="{00000000-0002-0000-0100-000001000000}">
          <x14:formula1>
            <xm:f>'DO NOT EDIT'!$D$2:$D$6</xm:f>
          </x14:formula1>
          <xm:sqref>K7:K51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topLeftCell="A11" zoomScaleNormal="100" workbookViewId="0">
      <selection activeCell="B6" sqref="B6"/>
    </sheetView>
  </sheetViews>
  <sheetFormatPr defaultRowHeight="14.4" x14ac:dyDescent="0.3"/>
  <cols>
    <col min="1" max="1" width="17.21875" customWidth="1"/>
    <col min="2" max="2" width="66.44140625" customWidth="1"/>
  </cols>
  <sheetData>
    <row r="1" spans="1:4" ht="15.6" x14ac:dyDescent="0.3">
      <c r="A1" s="39"/>
      <c r="B1" s="18" t="s">
        <v>82</v>
      </c>
      <c r="C1" s="17"/>
      <c r="D1" s="17"/>
    </row>
    <row r="2" spans="1:4" ht="15.6" x14ac:dyDescent="0.3">
      <c r="A2" s="39"/>
      <c r="B2" s="18" t="s">
        <v>80</v>
      </c>
      <c r="C2" s="17"/>
      <c r="D2" s="17"/>
    </row>
    <row r="3" spans="1:4" ht="15.6" x14ac:dyDescent="0.3">
      <c r="A3" s="39"/>
      <c r="B3" s="18" t="s">
        <v>81</v>
      </c>
      <c r="C3" s="17"/>
      <c r="D3" s="17"/>
    </row>
    <row r="4" spans="1:4" ht="33.450000000000003" customHeight="1" x14ac:dyDescent="0.3">
      <c r="A4" s="25" t="s">
        <v>32</v>
      </c>
      <c r="B4" s="25" t="s">
        <v>33</v>
      </c>
    </row>
    <row r="5" spans="1:4" ht="27" customHeight="1" x14ac:dyDescent="0.3">
      <c r="A5" s="38" t="s">
        <v>25</v>
      </c>
      <c r="B5" s="38"/>
    </row>
    <row r="6" spans="1:4" ht="31.05" customHeight="1" x14ac:dyDescent="0.3">
      <c r="A6" s="4">
        <v>1</v>
      </c>
      <c r="B6" s="19" t="s">
        <v>20</v>
      </c>
    </row>
    <row r="7" spans="1:4" ht="18" customHeight="1" x14ac:dyDescent="0.3">
      <c r="A7" s="4">
        <v>2</v>
      </c>
      <c r="B7" s="19" t="s">
        <v>21</v>
      </c>
    </row>
    <row r="8" spans="1:4" ht="18" customHeight="1" x14ac:dyDescent="0.3">
      <c r="A8" s="4">
        <v>3</v>
      </c>
      <c r="B8" s="19" t="s">
        <v>22</v>
      </c>
    </row>
    <row r="9" spans="1:4" ht="18" customHeight="1" x14ac:dyDescent="0.3">
      <c r="A9" s="4">
        <v>4</v>
      </c>
      <c r="B9" s="19" t="s">
        <v>23</v>
      </c>
    </row>
    <row r="10" spans="1:4" ht="18" customHeight="1" x14ac:dyDescent="0.3">
      <c r="A10" s="4">
        <v>5</v>
      </c>
      <c r="B10" s="19" t="s">
        <v>24</v>
      </c>
    </row>
    <row r="11" spans="1:4" x14ac:dyDescent="0.3">
      <c r="A11" s="15"/>
      <c r="B11" s="15"/>
    </row>
    <row r="12" spans="1:4" ht="31.5" customHeight="1" x14ac:dyDescent="0.3">
      <c r="A12" s="38" t="s">
        <v>26</v>
      </c>
      <c r="B12" s="38"/>
    </row>
    <row r="13" spans="1:4" ht="43.5" customHeight="1" x14ac:dyDescent="0.3">
      <c r="A13" s="4">
        <v>1</v>
      </c>
      <c r="B13" s="19" t="s">
        <v>27</v>
      </c>
    </row>
    <row r="14" spans="1:4" ht="49.95" customHeight="1" x14ac:dyDescent="0.3">
      <c r="A14" s="4">
        <v>2</v>
      </c>
      <c r="B14" s="19" t="s">
        <v>28</v>
      </c>
    </row>
    <row r="15" spans="1:4" ht="49.95" customHeight="1" x14ac:dyDescent="0.3">
      <c r="A15" s="4">
        <v>3</v>
      </c>
      <c r="B15" s="19" t="s">
        <v>29</v>
      </c>
    </row>
    <row r="16" spans="1:4" ht="73.05" customHeight="1" x14ac:dyDescent="0.3">
      <c r="A16" s="4">
        <v>4</v>
      </c>
      <c r="B16" s="19" t="s">
        <v>30</v>
      </c>
    </row>
    <row r="17" spans="1:2" ht="60" customHeight="1" x14ac:dyDescent="0.3">
      <c r="A17" s="4">
        <v>5</v>
      </c>
      <c r="B17" s="19" t="s">
        <v>31</v>
      </c>
    </row>
  </sheetData>
  <mergeCells count="3">
    <mergeCell ref="A5:B5"/>
    <mergeCell ref="A12:B12"/>
    <mergeCell ref="A1:A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zoomScaleNormal="100" workbookViewId="0">
      <selection activeCell="C1" sqref="C1:D3"/>
    </sheetView>
  </sheetViews>
  <sheetFormatPr defaultColWidth="9.21875" defaultRowHeight="13.8" x14ac:dyDescent="0.3"/>
  <cols>
    <col min="1" max="2" width="12.6640625" style="16" customWidth="1"/>
    <col min="3" max="7" width="11.6640625" style="16" customWidth="1"/>
    <col min="8" max="16384" width="9.21875" style="16"/>
  </cols>
  <sheetData>
    <row r="1" spans="1:7" ht="19.95" customHeight="1" x14ac:dyDescent="0.3">
      <c r="A1" s="44"/>
      <c r="B1" s="44"/>
      <c r="C1" s="45" t="s">
        <v>83</v>
      </c>
      <c r="D1" s="45"/>
      <c r="E1" s="37" t="s">
        <v>82</v>
      </c>
      <c r="F1" s="37"/>
      <c r="G1" s="37"/>
    </row>
    <row r="2" spans="1:7" ht="19.95" customHeight="1" x14ac:dyDescent="0.3">
      <c r="A2" s="44"/>
      <c r="B2" s="44"/>
      <c r="C2" s="45"/>
      <c r="D2" s="45"/>
      <c r="E2" s="37" t="s">
        <v>80</v>
      </c>
      <c r="F2" s="37"/>
      <c r="G2" s="37"/>
    </row>
    <row r="3" spans="1:7" ht="19.95" customHeight="1" x14ac:dyDescent="0.3">
      <c r="A3" s="44"/>
      <c r="B3" s="44"/>
      <c r="C3" s="45"/>
      <c r="D3" s="45"/>
      <c r="E3" s="37" t="s">
        <v>81</v>
      </c>
      <c r="F3" s="37"/>
      <c r="G3" s="37"/>
    </row>
    <row r="4" spans="1:7" ht="27.45" customHeight="1" x14ac:dyDescent="0.3">
      <c r="A4" s="43" t="s">
        <v>11</v>
      </c>
      <c r="B4" s="43"/>
      <c r="C4" s="42" t="s">
        <v>3</v>
      </c>
      <c r="D4" s="42"/>
      <c r="E4" s="42"/>
      <c r="F4" s="42"/>
      <c r="G4" s="42"/>
    </row>
    <row r="5" spans="1:7" ht="27" customHeight="1" x14ac:dyDescent="0.3">
      <c r="A5" s="43"/>
      <c r="B5" s="43"/>
      <c r="C5" s="20">
        <v>1</v>
      </c>
      <c r="D5" s="20">
        <v>2</v>
      </c>
      <c r="E5" s="20">
        <v>3</v>
      </c>
      <c r="F5" s="20">
        <v>4</v>
      </c>
      <c r="G5" s="20">
        <v>5</v>
      </c>
    </row>
    <row r="6" spans="1:7" ht="21" customHeight="1" x14ac:dyDescent="0.3">
      <c r="A6" s="41" t="s">
        <v>2</v>
      </c>
      <c r="B6" s="21">
        <v>1</v>
      </c>
      <c r="C6" s="22">
        <v>1</v>
      </c>
      <c r="D6" s="22">
        <v>2</v>
      </c>
      <c r="E6" s="22">
        <v>3</v>
      </c>
      <c r="F6" s="23">
        <v>4</v>
      </c>
      <c r="G6" s="23">
        <v>5</v>
      </c>
    </row>
    <row r="7" spans="1:7" ht="20.55" customHeight="1" x14ac:dyDescent="0.3">
      <c r="A7" s="41"/>
      <c r="B7" s="21">
        <v>2</v>
      </c>
      <c r="C7" s="22">
        <v>2</v>
      </c>
      <c r="D7" s="23">
        <v>4</v>
      </c>
      <c r="E7" s="23">
        <v>6</v>
      </c>
      <c r="F7" s="23">
        <v>8</v>
      </c>
      <c r="G7" s="23">
        <v>10</v>
      </c>
    </row>
    <row r="8" spans="1:7" ht="21" customHeight="1" x14ac:dyDescent="0.3">
      <c r="A8" s="41"/>
      <c r="B8" s="21">
        <v>3</v>
      </c>
      <c r="C8" s="22">
        <v>3</v>
      </c>
      <c r="D8" s="23">
        <v>6</v>
      </c>
      <c r="E8" s="23">
        <v>9</v>
      </c>
      <c r="F8" s="23">
        <v>12</v>
      </c>
      <c r="G8" s="24">
        <v>15</v>
      </c>
    </row>
    <row r="9" spans="1:7" ht="21" customHeight="1" x14ac:dyDescent="0.3">
      <c r="A9" s="41"/>
      <c r="B9" s="21">
        <v>4</v>
      </c>
      <c r="C9" s="23">
        <v>4</v>
      </c>
      <c r="D9" s="23">
        <v>8</v>
      </c>
      <c r="E9" s="23">
        <v>12</v>
      </c>
      <c r="F9" s="24">
        <v>16</v>
      </c>
      <c r="G9" s="24">
        <v>20</v>
      </c>
    </row>
    <row r="10" spans="1:7" ht="21" customHeight="1" x14ac:dyDescent="0.3">
      <c r="A10" s="41"/>
      <c r="B10" s="21">
        <v>5</v>
      </c>
      <c r="C10" s="23">
        <v>5</v>
      </c>
      <c r="D10" s="23">
        <v>10</v>
      </c>
      <c r="E10" s="24">
        <v>15</v>
      </c>
      <c r="F10" s="24">
        <v>20</v>
      </c>
      <c r="G10" s="24">
        <v>25</v>
      </c>
    </row>
    <row r="11" spans="1:7" ht="34.950000000000003" customHeight="1" x14ac:dyDescent="0.3">
      <c r="A11" s="22"/>
      <c r="B11" s="40" t="s">
        <v>12</v>
      </c>
      <c r="C11" s="40"/>
      <c r="D11" s="40"/>
      <c r="E11" s="40"/>
      <c r="F11" s="40"/>
      <c r="G11" s="40"/>
    </row>
    <row r="12" spans="1:7" ht="34.950000000000003" customHeight="1" x14ac:dyDescent="0.3">
      <c r="A12" s="23"/>
      <c r="B12" s="40" t="s">
        <v>13</v>
      </c>
      <c r="C12" s="40"/>
      <c r="D12" s="40"/>
      <c r="E12" s="40"/>
      <c r="F12" s="40"/>
      <c r="G12" s="40"/>
    </row>
    <row r="13" spans="1:7" ht="34.950000000000003" customHeight="1" x14ac:dyDescent="0.3">
      <c r="A13" s="24"/>
      <c r="B13" s="40" t="s">
        <v>14</v>
      </c>
      <c r="C13" s="40"/>
      <c r="D13" s="40"/>
      <c r="E13" s="40"/>
      <c r="F13" s="40"/>
      <c r="G13" s="40"/>
    </row>
  </sheetData>
  <mergeCells count="11">
    <mergeCell ref="A1:B3"/>
    <mergeCell ref="E1:G1"/>
    <mergeCell ref="E2:G2"/>
    <mergeCell ref="E3:G3"/>
    <mergeCell ref="C1:D3"/>
    <mergeCell ref="B13:G13"/>
    <mergeCell ref="A6:A10"/>
    <mergeCell ref="C4:G4"/>
    <mergeCell ref="A4:B5"/>
    <mergeCell ref="B11:G11"/>
    <mergeCell ref="B12:G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EDIT</vt:lpstr>
      <vt:lpstr>Risk Management</vt:lpstr>
      <vt:lpstr>Criteria</vt:lpstr>
      <vt:lpstr>Heat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2024-10-02T09:57:44Z</dcterms:modified>
</cp:coreProperties>
</file>