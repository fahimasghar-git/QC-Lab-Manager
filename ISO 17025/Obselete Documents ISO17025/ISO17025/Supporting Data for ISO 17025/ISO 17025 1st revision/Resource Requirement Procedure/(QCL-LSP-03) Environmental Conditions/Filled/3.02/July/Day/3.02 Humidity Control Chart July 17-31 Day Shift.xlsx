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e5440\Dropbox\ISO-17025-2017\Resource Requirement Procedure\(QCL-LSP-03) Environmental Conditions\Filled\3.02\July\Day\"/>
    </mc:Choice>
  </mc:AlternateContent>
  <xr:revisionPtr revIDLastSave="0" documentId="13_ncr:1_{6FC88421-09A4-44FA-9CAD-A590435D23F2}" xr6:coauthVersionLast="45" xr6:coauthVersionMax="45" xr10:uidLastSave="{00000000-0000-0000-0000-000000000000}"/>
  <bookViews>
    <workbookView xWindow="-110" yWindow="-110" windowWidth="19420" windowHeight="10420" tabRatio="676" xr2:uid="{00000000-000D-0000-FFFF-FFFF00000000}"/>
  </bookViews>
  <sheets>
    <sheet name="MainHall" sheetId="4" r:id="rId1"/>
  </sheets>
  <definedNames>
    <definedName name="_xlnm.Print_Area" localSheetId="0">MainHall!$A$1:$H$49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8" i="4" l="1"/>
  <c r="F37" i="4"/>
  <c r="F36" i="4"/>
  <c r="F35" i="4"/>
  <c r="F34" i="4"/>
  <c r="F33" i="4"/>
  <c r="B39" i="4"/>
  <c r="J13" i="4" l="1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L38" i="4"/>
  <c r="L37" i="4"/>
  <c r="F24" i="4"/>
  <c r="L24" i="4"/>
  <c r="F23" i="4"/>
  <c r="L23" i="4"/>
  <c r="F11" i="4" l="1"/>
  <c r="F32" i="4" l="1"/>
  <c r="F31" i="4"/>
  <c r="F12" i="4" l="1"/>
  <c r="F13" i="4"/>
  <c r="F14" i="4"/>
  <c r="F15" i="4"/>
  <c r="F16" i="4"/>
  <c r="F17" i="4"/>
  <c r="F18" i="4"/>
  <c r="F19" i="4"/>
  <c r="F20" i="4"/>
  <c r="F21" i="4"/>
  <c r="F22" i="4"/>
  <c r="F25" i="4"/>
  <c r="F26" i="4"/>
  <c r="F27" i="4"/>
  <c r="F28" i="4"/>
  <c r="F29" i="4"/>
  <c r="F30" i="4"/>
  <c r="L11" i="4" l="1"/>
  <c r="L36" i="4" l="1"/>
  <c r="L35" i="4"/>
  <c r="L34" i="4"/>
  <c r="L33" i="4"/>
  <c r="L32" i="4"/>
  <c r="L31" i="4"/>
  <c r="L30" i="4"/>
  <c r="L29" i="4"/>
  <c r="L28" i="4"/>
  <c r="L27" i="4"/>
  <c r="L26" i="4"/>
  <c r="L25" i="4"/>
  <c r="L22" i="4"/>
  <c r="L21" i="4"/>
  <c r="L20" i="4"/>
  <c r="L19" i="4"/>
  <c r="L18" i="4"/>
  <c r="L17" i="4"/>
  <c r="L16" i="4"/>
  <c r="L15" i="4"/>
  <c r="L14" i="4"/>
  <c r="L13" i="4"/>
  <c r="L12" i="4"/>
  <c r="J12" i="4"/>
  <c r="J11" i="4"/>
</calcChain>
</file>

<file path=xl/sharedStrings.xml><?xml version="1.0" encoding="utf-8"?>
<sst xmlns="http://schemas.openxmlformats.org/spreadsheetml/2006/main" count="131" uniqueCount="50">
  <si>
    <t>Name</t>
  </si>
  <si>
    <t>Signature</t>
  </si>
  <si>
    <t>Date</t>
  </si>
  <si>
    <t>CONTROL CHART FORM</t>
  </si>
  <si>
    <t>Measurand: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</si>
  <si>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</si>
  <si>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</si>
  <si>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</si>
  <si>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</si>
  <si>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</si>
  <si>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</si>
  <si>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</si>
  <si>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</si>
  <si>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</si>
  <si>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</si>
  <si>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</si>
  <si>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</si>
  <si>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</si>
  <si>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</si>
  <si>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</si>
  <si>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</si>
  <si>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Target Value</t>
  </si>
  <si>
    <t>Measured Value</t>
  </si>
  <si>
    <t>Target Value (%):</t>
  </si>
  <si>
    <t>Lower Control Limit (%):</t>
  </si>
  <si>
    <t>Lower Action Limit (%):</t>
  </si>
  <si>
    <t>Upper Control Limit (%):</t>
  </si>
  <si>
    <t>Upper Action Limit (%):</t>
  </si>
  <si>
    <t>Measured Value (%)</t>
  </si>
  <si>
    <t>Deviation (%)</t>
  </si>
  <si>
    <t>Value No.</t>
  </si>
  <si>
    <t>Day</t>
  </si>
  <si>
    <t>Monday</t>
  </si>
  <si>
    <t>Average</t>
  </si>
  <si>
    <t>Minimum Humidity</t>
  </si>
  <si>
    <t>Friday</t>
  </si>
  <si>
    <t>Thursday</t>
  </si>
  <si>
    <t>Maximum Temp.</t>
  </si>
  <si>
    <t>Relative Humidity</t>
  </si>
  <si>
    <t>Main Hall</t>
  </si>
  <si>
    <t>Thermohygrometer</t>
  </si>
  <si>
    <t>Doc. No.</t>
  </si>
  <si>
    <t>Issue Date</t>
  </si>
  <si>
    <t>Issue#</t>
  </si>
  <si>
    <t>Tuesday</t>
  </si>
  <si>
    <t>Wednesday</t>
  </si>
  <si>
    <t>Saturday</t>
  </si>
  <si>
    <t>QCL-FRM-3.02</t>
  </si>
  <si>
    <t>Sunday</t>
  </si>
  <si>
    <t>July-2024 (2nd Half)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</si>
</sst>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"/>
    <numFmt numFmtId="167" formatCode="[$-409]d\-mmm\-yyyy;@"/>
  </numFmts>
  <fonts count="9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9"/>
      <color theme="1"/>
      <name val="Century Gothic"/>
      <family val="2"/>
    </font>
    <font>
      <i/>
      <sz val="9"/>
      <color rgb="FF000000"/>
      <name val="Century Gothic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5" xfId="0" applyFont="1" applyBorder="1"/>
    <xf numFmtId="0" fontId="2" fillId="0" borderId="0" xfId="0" applyFont="1"/>
    <xf numFmtId="0" fontId="2" fillId="0" borderId="6" xfId="0" applyFont="1" applyBorder="1"/>
    <xf numFmtId="0" fontId="1" fillId="0" borderId="0" xfId="0" applyFont="1" applyBorder="1"/>
    <xf numFmtId="0" fontId="2" fillId="0" borderId="0" xfId="0" applyFont="1" applyBorder="1"/>
    <xf numFmtId="0" fontId="4" fillId="0" borderId="3" xfId="0" applyFont="1" applyBorder="1"/>
    <xf numFmtId="14" fontId="2" fillId="0" borderId="3" xfId="0" applyNumberFormat="1" applyFont="1" applyBorder="1" applyAlignment="1">
      <alignment horizontal="left"/>
    </xf>
    <xf numFmtId="0" fontId="2" fillId="0" borderId="3" xfId="0" applyFont="1" applyBorder="1"/>
    <xf numFmtId="0" fontId="4" fillId="0" borderId="1" xfId="0" applyFont="1" applyBorder="1"/>
    <xf numFmtId="166" fontId="2" fillId="0" borderId="3" xfId="0" applyNumberFormat="1" applyFont="1" applyBorder="1" applyAlignment="1">
      <alignment horizontal="left"/>
    </xf>
    <xf numFmtId="165" fontId="2" fillId="0" borderId="0" xfId="0" applyNumberFormat="1" applyFont="1"/>
    <xf numFmtId="166" fontId="2" fillId="0" borderId="0" xfId="0" applyNumberFormat="1" applyFont="1"/>
    <xf numFmtId="0" fontId="4" fillId="0" borderId="0" xfId="0" applyFont="1"/>
    <xf numFmtId="0" fontId="2" fillId="0" borderId="8" xfId="0" applyFont="1" applyBorder="1"/>
    <xf numFmtId="0" fontId="1" fillId="0" borderId="3" xfId="0" applyFont="1" applyFill="1" applyBorder="1" applyAlignment="1">
      <alignment horizontal="center" vertical="center" wrapText="1"/>
    </xf>
    <xf numFmtId="167" fontId="2" fillId="0" borderId="1" xfId="0" applyNumberFormat="1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0" borderId="2" xfId="0" applyFont="1" applyBorder="1"/>
    <xf numFmtId="0" fontId="0" fillId="0" borderId="0" xfId="0" applyFont="1"/>
    <xf numFmtId="166" fontId="2" fillId="0" borderId="1" xfId="0" applyNumberFormat="1" applyFont="1" applyBorder="1" applyAlignment="1">
      <alignment horizontal="center"/>
    </xf>
    <xf numFmtId="0" fontId="6" fillId="0" borderId="4" xfId="0" applyFont="1" applyBorder="1" applyAlignment="1">
      <alignment horizontal="left" vertical="center"/>
    </xf>
    <xf numFmtId="0" fontId="5" fillId="0" borderId="0" xfId="0" applyFont="1" applyBorder="1"/>
    <xf numFmtId="0" fontId="6" fillId="0" borderId="0" xfId="0" applyFont="1" applyBorder="1" applyAlignment="1">
      <alignment horizontal="left" vertical="center"/>
    </xf>
    <xf numFmtId="0" fontId="7" fillId="0" borderId="10" xfId="0" applyFont="1" applyBorder="1" applyAlignment="1">
      <alignment vertical="center" wrapText="1"/>
    </xf>
    <xf numFmtId="0" fontId="8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vertical="center" wrapText="1"/>
    </xf>
    <xf numFmtId="14" fontId="7" fillId="0" borderId="13" xfId="0" applyNumberFormat="1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166" fontId="2" fillId="0" borderId="0" xfId="0" applyNumberFormat="1" applyFont="1" applyBorder="1" applyAlignment="1">
      <alignment horizontal="left"/>
    </xf>
    <xf numFmtId="165" fontId="2" fillId="0" borderId="0" xfId="0" applyNumberFormat="1" applyFont="1" applyBorder="1" applyAlignment="1">
      <alignment horizontal="center"/>
    </xf>
    <xf numFmtId="0" fontId="4" fillId="0" borderId="15" xfId="0" applyFont="1" applyBorder="1"/>
    <xf numFmtId="0" fontId="2" fillId="0" borderId="1" xfId="0" applyFont="1" applyBorder="1"/>
    <xf numFmtId="164" fontId="2" fillId="0" borderId="1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justify" vertical="center" wrapText="1"/>
    </xf>
    <xf numFmtId="0" fontId="3" fillId="0" borderId="0" xfId="0" applyFont="1" applyBorder="1" applyAlignment="1">
      <alignment horizontal="justify" vertical="center" wrapText="1"/>
    </xf>
    <xf numFmtId="0" fontId="3" fillId="0" borderId="0" xfId="0" applyFont="1" applyBorder="1" applyAlignment="1">
      <alignment horizontal="right" vertical="center" wrapText="1"/>
    </xf>
    <xf numFmtId="15" fontId="4" fillId="0" borderId="0" xfId="0" applyNumberFormat="1" applyFont="1" applyBorder="1" applyAlignment="1">
      <alignment horizontal="justify" vertical="center" wrapText="1"/>
    </xf>
    <xf numFmtId="0" fontId="4" fillId="0" borderId="0" xfId="0" applyFont="1" applyBorder="1" applyAlignment="1">
      <alignment horizontal="right" vertical="center" wrapText="1"/>
    </xf>
    <xf numFmtId="0" fontId="4" fillId="0" borderId="0" xfId="0" applyFont="1" applyAlignment="1">
      <alignment horizontal="left"/>
    </xf>
    <xf numFmtId="0" fontId="2" fillId="0" borderId="7" xfId="0" applyFont="1" applyBorder="1" applyAlignment="1">
      <alignment horizontal="center" vertical="center"/>
    </xf>
    <xf numFmtId="0" fontId="4" fillId="0" borderId="0" xfId="0" applyFont="1" applyBorder="1"/>
    <xf numFmtId="0" fontId="6" fillId="0" borderId="0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Relative Humidity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6905556296988295E-2"/>
          <c:y val="0.17305167519006345"/>
          <c:w val="0.90755772053916994"/>
          <c:h val="0.61833947171513703"/>
        </c:manualLayout>
      </c:layout>
      <c:lineChart>
        <c:grouping val="standard"/>
        <c:varyColors val="0"/>
        <c:ser>
          <c:idx val="3"/>
          <c:order val="0"/>
          <c:tx>
            <c:strRef>
              <c:f>MainHall!$J$10</c:f>
              <c:strCache>
                <c:ptCount val="1"/>
                <c:pt idx="0">
                  <c:v>No.</c:v>
                </c:pt>
              </c:strCache>
            </c:strRef>
          </c:tx>
          <c:marker>
            <c:symbol val="none"/>
          </c:marker>
          <c:val>
            <c:numRef>
              <c:f>MainHall!$J$11:$J$38</c:f>
              <c:numCache>
                <c:formatCode>General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63-47D4-A6B2-49A4436AE885}"/>
            </c:ext>
          </c:extLst>
        </c:ser>
        <c:ser>
          <c:idx val="4"/>
          <c:order val="1"/>
          <c:tx>
            <c:strRef>
              <c:f>MainHall!$K$10</c:f>
              <c:strCache>
                <c:ptCount val="1"/>
                <c:pt idx="0">
                  <c:v>Target Value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MainHall!$K$11:$K$38</c:f>
              <c:numCache>
                <c:formatCode>0.0</c:formatCode>
                <c:ptCount val="28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63-47D4-A6B2-49A4436AE885}"/>
            </c:ext>
          </c:extLst>
        </c:ser>
        <c:ser>
          <c:idx val="5"/>
          <c:order val="2"/>
          <c:tx>
            <c:strRef>
              <c:f>MainHall!$L$10</c:f>
              <c:strCache>
                <c:ptCount val="1"/>
                <c:pt idx="0">
                  <c:v>Measured Value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circle"/>
            <c:size val="5"/>
            <c:spPr>
              <a:ln>
                <a:solidFill>
                  <a:srgbClr val="0070C0"/>
                </a:solidFill>
              </a:ln>
            </c:spPr>
          </c:marker>
          <c:val>
            <c:numRef>
              <c:f>MainHall!$L$11:$L$38</c:f>
              <c:numCache>
                <c:formatCode>0.0</c:formatCode>
                <c:ptCount val="28"/>
                <c:pt idx="0">
                  <c:v>48</c:v>
                </c:pt>
                <c:pt idx="1">
                  <c:v>52</c:v>
                </c:pt>
                <c:pt idx="2">
                  <c:v>56</c:v>
                </c:pt>
                <c:pt idx="3">
                  <c:v>49</c:v>
                </c:pt>
                <c:pt idx="4">
                  <c:v>50</c:v>
                </c:pt>
                <c:pt idx="5">
                  <c:v>47</c:v>
                </c:pt>
                <c:pt idx="6">
                  <c:v>44</c:v>
                </c:pt>
                <c:pt idx="7">
                  <c:v>49</c:v>
                </c:pt>
                <c:pt idx="8">
                  <c:v>48</c:v>
                </c:pt>
                <c:pt idx="9">
                  <c:v>52</c:v>
                </c:pt>
                <c:pt idx="10">
                  <c:v>53</c:v>
                </c:pt>
                <c:pt idx="11">
                  <c:v>46</c:v>
                </c:pt>
                <c:pt idx="12">
                  <c:v>50</c:v>
                </c:pt>
                <c:pt idx="13">
                  <c:v>46</c:v>
                </c:pt>
                <c:pt idx="14">
                  <c:v>53</c:v>
                </c:pt>
                <c:pt idx="15">
                  <c:v>51</c:v>
                </c:pt>
                <c:pt idx="16">
                  <c:v>46</c:v>
                </c:pt>
                <c:pt idx="17">
                  <c:v>49</c:v>
                </c:pt>
                <c:pt idx="18">
                  <c:v>50</c:v>
                </c:pt>
                <c:pt idx="19">
                  <c:v>47</c:v>
                </c:pt>
                <c:pt idx="20">
                  <c:v>56</c:v>
                </c:pt>
                <c:pt idx="21">
                  <c:v>52</c:v>
                </c:pt>
                <c:pt idx="22">
                  <c:v>53</c:v>
                </c:pt>
                <c:pt idx="23">
                  <c:v>59</c:v>
                </c:pt>
                <c:pt idx="24">
                  <c:v>50</c:v>
                </c:pt>
                <c:pt idx="25">
                  <c:v>44</c:v>
                </c:pt>
                <c:pt idx="26">
                  <c:v>57</c:v>
                </c:pt>
                <c:pt idx="27">
                  <c:v>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63-47D4-A6B2-49A4436AE885}"/>
            </c:ext>
          </c:extLst>
        </c:ser>
        <c:ser>
          <c:idx val="6"/>
          <c:order val="3"/>
          <c:tx>
            <c:strRef>
              <c:f>MainHall!$M$10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MainHall!$M$11:$M$38</c:f>
              <c:numCache>
                <c:formatCode>0.0</c:formatCode>
                <c:ptCount val="28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63-47D4-A6B2-49A4436AE885}"/>
            </c:ext>
          </c:extLst>
        </c:ser>
        <c:ser>
          <c:idx val="0"/>
          <c:order val="4"/>
          <c:tx>
            <c:strRef>
              <c:f>MainHall!$N$10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MainHall!$N$11:$N$38</c:f>
              <c:numCache>
                <c:formatCode>0.0</c:formatCode>
                <c:ptCount val="28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65</c:v>
                </c:pt>
                <c:pt idx="7">
                  <c:v>65</c:v>
                </c:pt>
                <c:pt idx="8">
                  <c:v>65</c:v>
                </c:pt>
                <c:pt idx="9">
                  <c:v>65</c:v>
                </c:pt>
                <c:pt idx="10">
                  <c:v>65</c:v>
                </c:pt>
                <c:pt idx="11">
                  <c:v>65</c:v>
                </c:pt>
                <c:pt idx="12">
                  <c:v>65</c:v>
                </c:pt>
                <c:pt idx="13">
                  <c:v>65</c:v>
                </c:pt>
                <c:pt idx="14">
                  <c:v>65</c:v>
                </c:pt>
                <c:pt idx="15">
                  <c:v>65</c:v>
                </c:pt>
                <c:pt idx="16">
                  <c:v>65</c:v>
                </c:pt>
                <c:pt idx="17">
                  <c:v>65</c:v>
                </c:pt>
                <c:pt idx="18">
                  <c:v>65</c:v>
                </c:pt>
                <c:pt idx="19">
                  <c:v>65</c:v>
                </c:pt>
                <c:pt idx="20">
                  <c:v>65</c:v>
                </c:pt>
                <c:pt idx="21">
                  <c:v>65</c:v>
                </c:pt>
                <c:pt idx="22">
                  <c:v>65</c:v>
                </c:pt>
                <c:pt idx="23">
                  <c:v>65</c:v>
                </c:pt>
                <c:pt idx="24">
                  <c:v>65</c:v>
                </c:pt>
                <c:pt idx="25">
                  <c:v>65</c:v>
                </c:pt>
                <c:pt idx="26">
                  <c:v>65</c:v>
                </c:pt>
                <c:pt idx="27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FA-4885-A612-04D1670E71D0}"/>
            </c:ext>
          </c:extLst>
        </c:ser>
        <c:ser>
          <c:idx val="1"/>
          <c:order val="5"/>
          <c:tx>
            <c:strRef>
              <c:f>MainHall!$O$10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MainHall!$O$11:$O$38</c:f>
              <c:numCache>
                <c:formatCode>0.0</c:formatCode>
                <c:ptCount val="28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FA-4885-A612-04D1670E71D0}"/>
            </c:ext>
          </c:extLst>
        </c:ser>
        <c:ser>
          <c:idx val="2"/>
          <c:order val="6"/>
          <c:tx>
            <c:strRef>
              <c:f>MainHall!$P$10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MainHall!$P$11:$P$38</c:f>
              <c:numCache>
                <c:formatCode>0.0</c:formatCode>
                <c:ptCount val="28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  <c:pt idx="22">
                  <c:v>70</c:v>
                </c:pt>
                <c:pt idx="23">
                  <c:v>70</c:v>
                </c:pt>
                <c:pt idx="24">
                  <c:v>70</c:v>
                </c:pt>
                <c:pt idx="25">
                  <c:v>70</c:v>
                </c:pt>
                <c:pt idx="26">
                  <c:v>70</c:v>
                </c:pt>
                <c:pt idx="27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8C-40EE-88D3-8238C774F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833448352"/>
        <c:axId val="-1833447808"/>
      </c:lineChart>
      <c:catAx>
        <c:axId val="-1833448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7808"/>
        <c:crosses val="autoZero"/>
        <c:auto val="1"/>
        <c:lblAlgn val="ctr"/>
        <c:lblOffset val="100"/>
        <c:noMultiLvlLbl val="0"/>
      </c:catAx>
      <c:valAx>
        <c:axId val="-1833447808"/>
        <c:scaling>
          <c:orientation val="minMax"/>
          <c:max val="70"/>
          <c:min val="3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Relative Humidity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8352"/>
        <c:crosses val="autoZero"/>
        <c:crossBetween val="between"/>
        <c:majorUnit val="5"/>
        <c:min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40822</xdr:rowOff>
    </xdr:from>
    <xdr:to>
      <xdr:col>7</xdr:col>
      <xdr:colOff>1009650</xdr:colOff>
      <xdr:row>8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114300</xdr:colOff>
      <xdr:row>0</xdr:row>
      <xdr:rowOff>0</xdr:rowOff>
    </xdr:from>
    <xdr:to>
      <xdr:col>0</xdr:col>
      <xdr:colOff>1416050</xdr:colOff>
      <xdr:row>2</xdr:row>
      <xdr:rowOff>114300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831FD2E-3CB1-4B2B-8D13-92436B1D9A3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1301750" cy="4826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3"/>
  <sheetViews>
    <sheetView tabSelected="1" view="pageBreakPreview" topLeftCell="A31" zoomScaleNormal="100" zoomScaleSheetLayoutView="100" workbookViewId="0">
      <selection activeCell="A39" sqref="A39:B42"/>
    </sheetView>
  </sheetViews>
  <sheetFormatPr defaultColWidth="9.1796875" defaultRowHeight="16" x14ac:dyDescent="0.45"/>
  <cols>
    <col min="1" max="1" width="22.26953125" style="6" customWidth="1"/>
    <col min="2" max="2" width="15.81640625" style="6" customWidth="1"/>
    <col min="3" max="3" width="18.1796875" style="6" customWidth="1"/>
    <col min="4" max="4" width="15" style="6" customWidth="1"/>
    <col min="5" max="5" width="19.1796875" style="6" customWidth="1"/>
    <col min="6" max="6" width="15.54296875" style="6" customWidth="1"/>
    <col min="7" max="7" width="16.54296875" style="6" customWidth="1"/>
    <col min="8" max="8" width="15" style="6" customWidth="1"/>
    <col min="9" max="9" width="16.1796875" style="6" customWidth="1"/>
    <col min="10" max="16384" width="9.1796875" style="6"/>
  </cols>
  <sheetData>
    <row r="1" spans="1:16" s="29" customFormat="1" ht="15" customHeight="1" thickTop="1" thickBot="1" x14ac:dyDescent="0.5">
      <c r="A1" s="28"/>
      <c r="B1" s="31"/>
      <c r="C1" s="53" t="s">
        <v>3</v>
      </c>
      <c r="D1" s="53"/>
      <c r="E1" s="53"/>
      <c r="F1" s="54"/>
      <c r="G1" s="34" t="s">
        <v>41</v>
      </c>
      <c r="H1" s="35" t="s">
        <v>47</v>
      </c>
    </row>
    <row r="2" spans="1:16" s="29" customFormat="1" ht="14" customHeight="1" thickTop="1" thickBot="1" x14ac:dyDescent="0.5">
      <c r="A2" s="32"/>
      <c r="B2" s="33"/>
      <c r="C2" s="53"/>
      <c r="D2" s="53"/>
      <c r="E2" s="53"/>
      <c r="F2" s="54"/>
      <c r="G2" s="36" t="s">
        <v>42</v>
      </c>
      <c r="H2" s="37">
        <v>45174</v>
      </c>
    </row>
    <row r="3" spans="1:16" ht="14" customHeight="1" thickTop="1" thickBot="1" x14ac:dyDescent="0.5">
      <c r="A3" s="7"/>
      <c r="B3" s="8"/>
      <c r="C3" s="8"/>
      <c r="D3" s="9"/>
      <c r="E3" s="9"/>
      <c r="G3" s="36" t="s">
        <v>43</v>
      </c>
      <c r="H3" s="38">
        <v>1</v>
      </c>
    </row>
    <row r="4" spans="1:16" ht="14" customHeight="1" thickTop="1" x14ac:dyDescent="0.45">
      <c r="A4" s="41" t="s">
        <v>4</v>
      </c>
      <c r="B4" s="42" t="s">
        <v>38</v>
      </c>
      <c r="E4" s="13" t="s">
        <v>17</v>
      </c>
      <c r="F4" s="42"/>
      <c r="G4" s="11" t="s">
        <v>49</v>
      </c>
      <c r="H4" s="5"/>
    </row>
    <row r="5" spans="1:16" ht="12.5" customHeight="1" x14ac:dyDescent="0.45">
      <c r="A5" s="10" t="s">
        <v>15</v>
      </c>
      <c r="B5" s="42" t="s">
        <v>39</v>
      </c>
      <c r="E5" s="13" t="s">
        <v>16</v>
      </c>
      <c r="F5" s="42"/>
      <c r="G5" s="12" t="s">
        <v>40</v>
      </c>
      <c r="H5" s="5"/>
    </row>
    <row r="6" spans="1:16" ht="14" customHeight="1" x14ac:dyDescent="0.45">
      <c r="A6" s="10" t="s">
        <v>23</v>
      </c>
      <c r="B6" s="42">
        <v>50</v>
      </c>
      <c r="E6" s="13" t="s">
        <v>18</v>
      </c>
      <c r="F6" s="42"/>
      <c r="G6" s="14"/>
      <c r="H6" s="5"/>
    </row>
    <row r="7" spans="1:16" ht="14.5" customHeight="1" x14ac:dyDescent="0.45">
      <c r="A7" s="10" t="s">
        <v>24</v>
      </c>
      <c r="B7" s="42">
        <v>35</v>
      </c>
      <c r="C7" s="39"/>
      <c r="D7" s="40"/>
      <c r="E7" s="13" t="s">
        <v>26</v>
      </c>
      <c r="F7" s="42"/>
      <c r="G7" s="14">
        <v>65</v>
      </c>
      <c r="H7" s="5"/>
    </row>
    <row r="8" spans="1:16" ht="14.5" customHeight="1" x14ac:dyDescent="0.45">
      <c r="A8" s="10" t="s">
        <v>25</v>
      </c>
      <c r="B8" s="42">
        <v>30</v>
      </c>
      <c r="C8" s="39"/>
      <c r="D8" s="40"/>
      <c r="E8" s="13" t="s">
        <v>27</v>
      </c>
      <c r="F8" s="42"/>
      <c r="G8" s="14">
        <v>70</v>
      </c>
      <c r="H8" s="5"/>
    </row>
    <row r="9" spans="1:16" ht="339.75" customHeight="1" x14ac:dyDescent="0.45">
      <c r="D9" s="15"/>
      <c r="F9" s="15"/>
    </row>
    <row r="10" spans="1:16" ht="46.5" customHeight="1" x14ac:dyDescent="0.45">
      <c r="A10" s="1" t="s">
        <v>30</v>
      </c>
      <c r="B10" s="1" t="s">
        <v>2</v>
      </c>
      <c r="C10" s="1" t="s">
        <v>31</v>
      </c>
      <c r="D10" s="1" t="s">
        <v>20</v>
      </c>
      <c r="E10" s="1" t="s">
        <v>28</v>
      </c>
      <c r="F10" s="2" t="s">
        <v>29</v>
      </c>
      <c r="G10" s="19" t="s">
        <v>5</v>
      </c>
      <c r="H10" s="21" t="s">
        <v>19</v>
      </c>
      <c r="J10" s="3" t="s">
        <v>12</v>
      </c>
      <c r="K10" s="4" t="s">
        <v>21</v>
      </c>
      <c r="L10" s="4" t="s">
        <v>22</v>
      </c>
      <c r="M10" s="4" t="s">
        <v>8</v>
      </c>
      <c r="N10" s="4" t="s">
        <v>9</v>
      </c>
      <c r="O10" s="4" t="s">
        <v>10</v>
      </c>
      <c r="P10" s="4" t="s">
        <v>11</v>
      </c>
    </row>
    <row r="11" spans="1:16" ht="20.149999999999999" customHeight="1" x14ac:dyDescent="0.45">
      <c r="A11" s="22">
        <v>1</v>
      </c>
      <c r="B11" s="20">
        <v>45491</v>
      </c>
      <c r="C11" s="20" t="s">
        <v>36</v>
      </c>
      <c r="D11" s="44">
        <v>0.45833333333333331</v>
      </c>
      <c r="E11" s="23">
        <v>48</v>
      </c>
      <c r="F11" s="23">
        <f>E11-$B$6</f>
        <v>-2</v>
      </c>
      <c r="G11" s="43" t="s">
        <v>6</v>
      </c>
      <c r="H11" s="24" t="s">
        <v>14</v>
      </c>
      <c r="J11" s="6">
        <f t="shared" ref="J11:J38" si="0">A11</f>
        <v>1</v>
      </c>
      <c r="K11" s="16">
        <v>50</v>
      </c>
      <c r="L11" s="16">
        <f t="shared" ref="L11:L38" si="1">E11</f>
        <v>48</v>
      </c>
      <c r="M11" s="16">
        <v>35</v>
      </c>
      <c r="N11" s="16">
        <v>65</v>
      </c>
      <c r="O11" s="16">
        <v>30</v>
      </c>
      <c r="P11" s="16">
        <v>70</v>
      </c>
    </row>
    <row r="12" spans="1:16" ht="20.149999999999999" customHeight="1" x14ac:dyDescent="0.45">
      <c r="A12" s="22">
        <v>2</v>
      </c>
      <c r="B12" s="20">
        <v>45491</v>
      </c>
      <c r="C12" s="20" t="s">
        <v>36</v>
      </c>
      <c r="D12" s="44">
        <v>0.625</v>
      </c>
      <c r="E12" s="23">
        <v>52</v>
      </c>
      <c r="F12" s="23">
        <f t="shared" ref="F12:F38" si="2">E12-$B$6</f>
        <v>2</v>
      </c>
      <c r="G12" s="43" t="s">
        <v>6</v>
      </c>
      <c r="H12" s="24" t="s">
        <v>14</v>
      </c>
      <c r="J12" s="6">
        <f t="shared" si="0"/>
        <v>2</v>
      </c>
      <c r="K12" s="16">
        <v>50</v>
      </c>
      <c r="L12" s="16">
        <f t="shared" si="1"/>
        <v>52</v>
      </c>
      <c r="M12" s="16">
        <v>35</v>
      </c>
      <c r="N12" s="16">
        <v>65</v>
      </c>
      <c r="O12" s="16">
        <v>30</v>
      </c>
      <c r="P12" s="16">
        <v>70</v>
      </c>
    </row>
    <row r="13" spans="1:16" ht="20.149999999999999" customHeight="1" x14ac:dyDescent="0.45">
      <c r="A13" s="22">
        <v>3</v>
      </c>
      <c r="B13" s="20">
        <v>45492</v>
      </c>
      <c r="C13" s="20" t="s">
        <v>35</v>
      </c>
      <c r="D13" s="44">
        <v>0.45833333333333331</v>
      </c>
      <c r="E13" s="23">
        <v>56</v>
      </c>
      <c r="F13" s="23">
        <f t="shared" si="2"/>
        <v>6</v>
      </c>
      <c r="G13" s="43" t="s">
        <v>6</v>
      </c>
      <c r="H13" s="24" t="s">
        <v>14</v>
      </c>
      <c r="J13" s="6">
        <f t="shared" si="0"/>
        <v>3</v>
      </c>
      <c r="K13" s="16">
        <v>50</v>
      </c>
      <c r="L13" s="16">
        <f t="shared" si="1"/>
        <v>56</v>
      </c>
      <c r="M13" s="16">
        <v>35</v>
      </c>
      <c r="N13" s="16">
        <v>65</v>
      </c>
      <c r="O13" s="16">
        <v>30</v>
      </c>
      <c r="P13" s="16">
        <v>70</v>
      </c>
    </row>
    <row r="14" spans="1:16" ht="20.149999999999999" customHeight="1" x14ac:dyDescent="0.45">
      <c r="A14" s="22">
        <v>4</v>
      </c>
      <c r="B14" s="20">
        <v>45492</v>
      </c>
      <c r="C14" s="20" t="s">
        <v>35</v>
      </c>
      <c r="D14" s="44">
        <v>0.625</v>
      </c>
      <c r="E14" s="23">
        <v>49</v>
      </c>
      <c r="F14" s="23">
        <f t="shared" si="2"/>
        <v>-1</v>
      </c>
      <c r="G14" s="43" t="s">
        <v>6</v>
      </c>
      <c r="H14" s="24" t="s">
        <v>14</v>
      </c>
      <c r="J14" s="6">
        <f t="shared" si="0"/>
        <v>4</v>
      </c>
      <c r="K14" s="16">
        <v>50</v>
      </c>
      <c r="L14" s="16">
        <f t="shared" si="1"/>
        <v>49</v>
      </c>
      <c r="M14" s="16">
        <v>35</v>
      </c>
      <c r="N14" s="16">
        <v>65</v>
      </c>
      <c r="O14" s="16">
        <v>30</v>
      </c>
      <c r="P14" s="16">
        <v>70</v>
      </c>
    </row>
    <row r="15" spans="1:16" ht="20.149999999999999" customHeight="1" x14ac:dyDescent="0.45">
      <c r="A15" s="22">
        <v>5</v>
      </c>
      <c r="B15" s="20">
        <v>45493</v>
      </c>
      <c r="C15" s="20" t="s">
        <v>46</v>
      </c>
      <c r="D15" s="44">
        <v>0.45833333333333331</v>
      </c>
      <c r="E15" s="23">
        <v>50</v>
      </c>
      <c r="F15" s="23">
        <f t="shared" si="2"/>
        <v>0</v>
      </c>
      <c r="G15" s="43" t="s">
        <v>6</v>
      </c>
      <c r="H15" s="24" t="s">
        <v>14</v>
      </c>
      <c r="J15" s="6">
        <f t="shared" si="0"/>
        <v>5</v>
      </c>
      <c r="K15" s="16">
        <v>50</v>
      </c>
      <c r="L15" s="16">
        <f t="shared" si="1"/>
        <v>50</v>
      </c>
      <c r="M15" s="16">
        <v>35</v>
      </c>
      <c r="N15" s="16">
        <v>65</v>
      </c>
      <c r="O15" s="16">
        <v>30</v>
      </c>
      <c r="P15" s="16">
        <v>70</v>
      </c>
    </row>
    <row r="16" spans="1:16" ht="20.149999999999999" customHeight="1" x14ac:dyDescent="0.45">
      <c r="A16" s="22">
        <v>6</v>
      </c>
      <c r="B16" s="20">
        <v>45493</v>
      </c>
      <c r="C16" s="20" t="s">
        <v>46</v>
      </c>
      <c r="D16" s="44">
        <v>0.625</v>
      </c>
      <c r="E16" s="23">
        <v>47</v>
      </c>
      <c r="F16" s="23">
        <f t="shared" si="2"/>
        <v>-3</v>
      </c>
      <c r="G16" s="43" t="s">
        <v>6</v>
      </c>
      <c r="H16" s="24" t="s">
        <v>14</v>
      </c>
      <c r="J16" s="6">
        <f t="shared" si="0"/>
        <v>6</v>
      </c>
      <c r="K16" s="16">
        <v>50</v>
      </c>
      <c r="L16" s="16">
        <f t="shared" si="1"/>
        <v>47</v>
      </c>
      <c r="M16" s="16">
        <v>35</v>
      </c>
      <c r="N16" s="16">
        <v>65</v>
      </c>
      <c r="O16" s="16">
        <v>30</v>
      </c>
      <c r="P16" s="16">
        <v>70</v>
      </c>
    </row>
    <row r="17" spans="1:16" ht="20.149999999999999" customHeight="1" x14ac:dyDescent="0.45">
      <c r="A17" s="22">
        <v>7</v>
      </c>
      <c r="B17" s="20">
        <v>45494</v>
      </c>
      <c r="C17" s="20" t="s">
        <v>48</v>
      </c>
      <c r="D17" s="44">
        <v>0.45833333333333331</v>
      </c>
      <c r="E17" s="23">
        <v>44</v>
      </c>
      <c r="F17" s="23">
        <f t="shared" si="2"/>
        <v>-6</v>
      </c>
      <c r="G17" s="43" t="s">
        <v>6</v>
      </c>
      <c r="H17" s="24" t="s">
        <v>14</v>
      </c>
      <c r="J17" s="6">
        <f t="shared" si="0"/>
        <v>7</v>
      </c>
      <c r="K17" s="16">
        <v>50</v>
      </c>
      <c r="L17" s="16">
        <f t="shared" si="1"/>
        <v>44</v>
      </c>
      <c r="M17" s="16">
        <v>35</v>
      </c>
      <c r="N17" s="16">
        <v>65</v>
      </c>
      <c r="O17" s="16">
        <v>30</v>
      </c>
      <c r="P17" s="16">
        <v>70</v>
      </c>
    </row>
    <row r="18" spans="1:16" ht="20.149999999999999" customHeight="1" x14ac:dyDescent="0.45">
      <c r="A18" s="22">
        <v>8</v>
      </c>
      <c r="B18" s="20">
        <v>45494</v>
      </c>
      <c r="C18" s="20" t="s">
        <v>48</v>
      </c>
      <c r="D18" s="44">
        <v>0.625</v>
      </c>
      <c r="E18" s="23">
        <v>49</v>
      </c>
      <c r="F18" s="23">
        <f t="shared" si="2"/>
        <v>-1</v>
      </c>
      <c r="G18" s="43" t="s">
        <v>6</v>
      </c>
      <c r="H18" s="24" t="s">
        <v>14</v>
      </c>
      <c r="J18" s="6">
        <f t="shared" si="0"/>
        <v>8</v>
      </c>
      <c r="K18" s="16">
        <v>50</v>
      </c>
      <c r="L18" s="16">
        <f t="shared" si="1"/>
        <v>49</v>
      </c>
      <c r="M18" s="16">
        <v>35</v>
      </c>
      <c r="N18" s="16">
        <v>65</v>
      </c>
      <c r="O18" s="16">
        <v>30</v>
      </c>
      <c r="P18" s="16">
        <v>70</v>
      </c>
    </row>
    <row r="19" spans="1:16" ht="20.149999999999999" customHeight="1" x14ac:dyDescent="0.45">
      <c r="A19" s="22">
        <v>9</v>
      </c>
      <c r="B19" s="20">
        <v>45495</v>
      </c>
      <c r="C19" s="20" t="s">
        <v>32</v>
      </c>
      <c r="D19" s="44">
        <v>0.45833333333333331</v>
      </c>
      <c r="E19" s="23">
        <v>48</v>
      </c>
      <c r="F19" s="23">
        <f t="shared" si="2"/>
        <v>-2</v>
      </c>
      <c r="G19" s="43" t="s">
        <v>6</v>
      </c>
      <c r="H19" s="24" t="s">
        <v>14</v>
      </c>
      <c r="J19" s="6">
        <f t="shared" si="0"/>
        <v>9</v>
      </c>
      <c r="K19" s="16">
        <v>50</v>
      </c>
      <c r="L19" s="16">
        <f t="shared" si="1"/>
        <v>48</v>
      </c>
      <c r="M19" s="16">
        <v>35</v>
      </c>
      <c r="N19" s="16">
        <v>65</v>
      </c>
      <c r="O19" s="16">
        <v>30</v>
      </c>
      <c r="P19" s="16">
        <v>70</v>
      </c>
    </row>
    <row r="20" spans="1:16" ht="20.149999999999999" customHeight="1" x14ac:dyDescent="0.45">
      <c r="A20" s="22">
        <v>10</v>
      </c>
      <c r="B20" s="20">
        <v>45495</v>
      </c>
      <c r="C20" s="20" t="s">
        <v>32</v>
      </c>
      <c r="D20" s="44">
        <v>0.625</v>
      </c>
      <c r="E20" s="23">
        <v>52</v>
      </c>
      <c r="F20" s="23">
        <f t="shared" si="2"/>
        <v>2</v>
      </c>
      <c r="G20" s="43" t="s">
        <v>6</v>
      </c>
      <c r="H20" s="24" t="s">
        <v>14</v>
      </c>
      <c r="J20" s="6">
        <f t="shared" si="0"/>
        <v>10</v>
      </c>
      <c r="K20" s="16">
        <v>50</v>
      </c>
      <c r="L20" s="16">
        <f t="shared" si="1"/>
        <v>52</v>
      </c>
      <c r="M20" s="16">
        <v>35</v>
      </c>
      <c r="N20" s="16">
        <v>65</v>
      </c>
      <c r="O20" s="16">
        <v>30</v>
      </c>
      <c r="P20" s="16">
        <v>70</v>
      </c>
    </row>
    <row r="21" spans="1:16" ht="23.25" customHeight="1" x14ac:dyDescent="0.45">
      <c r="A21" s="22">
        <v>11</v>
      </c>
      <c r="B21" s="20">
        <v>45496</v>
      </c>
      <c r="C21" s="20" t="s">
        <v>44</v>
      </c>
      <c r="D21" s="44">
        <v>0.45833333333333331</v>
      </c>
      <c r="E21" s="23">
        <v>53</v>
      </c>
      <c r="F21" s="23">
        <f t="shared" si="2"/>
        <v>3</v>
      </c>
      <c r="G21" s="43" t="s">
        <v>6</v>
      </c>
      <c r="H21" s="24" t="s">
        <v>14</v>
      </c>
      <c r="J21" s="6">
        <f t="shared" si="0"/>
        <v>11</v>
      </c>
      <c r="K21" s="16">
        <v>50</v>
      </c>
      <c r="L21" s="16">
        <f t="shared" si="1"/>
        <v>53</v>
      </c>
      <c r="M21" s="16">
        <v>35</v>
      </c>
      <c r="N21" s="16">
        <v>65</v>
      </c>
      <c r="O21" s="16">
        <v>30</v>
      </c>
      <c r="P21" s="16">
        <v>70</v>
      </c>
    </row>
    <row r="22" spans="1:16" ht="23.25" customHeight="1" x14ac:dyDescent="0.45">
      <c r="A22" s="22">
        <v>12</v>
      </c>
      <c r="B22" s="20">
        <v>45496</v>
      </c>
      <c r="C22" s="20" t="s">
        <v>44</v>
      </c>
      <c r="D22" s="44">
        <v>0.625</v>
      </c>
      <c r="E22" s="23">
        <v>46</v>
      </c>
      <c r="F22" s="23">
        <f t="shared" si="2"/>
        <v>-4</v>
      </c>
      <c r="G22" s="43" t="s">
        <v>6</v>
      </c>
      <c r="H22" s="24" t="s">
        <v>14</v>
      </c>
      <c r="J22" s="6">
        <f t="shared" si="0"/>
        <v>12</v>
      </c>
      <c r="K22" s="16">
        <v>50</v>
      </c>
      <c r="L22" s="16">
        <f t="shared" si="1"/>
        <v>46</v>
      </c>
      <c r="M22" s="16">
        <v>35</v>
      </c>
      <c r="N22" s="16">
        <v>65</v>
      </c>
      <c r="O22" s="16">
        <v>30</v>
      </c>
      <c r="P22" s="16">
        <v>70</v>
      </c>
    </row>
    <row r="23" spans="1:16" ht="23.25" customHeight="1" x14ac:dyDescent="0.45">
      <c r="A23" s="22">
        <v>13</v>
      </c>
      <c r="B23" s="20">
        <v>45497</v>
      </c>
      <c r="C23" s="20" t="s">
        <v>45</v>
      </c>
      <c r="D23" s="44">
        <v>0.45833333333333331</v>
      </c>
      <c r="E23" s="23">
        <v>50</v>
      </c>
      <c r="F23" s="23">
        <f t="shared" si="2"/>
        <v>0</v>
      </c>
      <c r="G23" s="43" t="s">
        <v>6</v>
      </c>
      <c r="H23" s="24" t="s">
        <v>14</v>
      </c>
      <c r="J23" s="6">
        <f t="shared" si="0"/>
        <v>13</v>
      </c>
      <c r="K23" s="16">
        <v>50</v>
      </c>
      <c r="L23" s="16">
        <f t="shared" si="1"/>
        <v>50</v>
      </c>
      <c r="M23" s="16">
        <v>35</v>
      </c>
      <c r="N23" s="16">
        <v>65</v>
      </c>
      <c r="O23" s="16">
        <v>30</v>
      </c>
      <c r="P23" s="16">
        <v>70</v>
      </c>
    </row>
    <row r="24" spans="1:16" ht="23.25" customHeight="1" x14ac:dyDescent="0.45">
      <c r="A24" s="22">
        <v>14</v>
      </c>
      <c r="B24" s="20">
        <v>45497</v>
      </c>
      <c r="C24" s="20" t="s">
        <v>45</v>
      </c>
      <c r="D24" s="44">
        <v>0.625</v>
      </c>
      <c r="E24" s="23">
        <v>46</v>
      </c>
      <c r="F24" s="23">
        <f t="shared" si="2"/>
        <v>-4</v>
      </c>
      <c r="G24" s="43" t="s">
        <v>6</v>
      </c>
      <c r="H24" s="24" t="s">
        <v>14</v>
      </c>
      <c r="J24" s="6">
        <f t="shared" si="0"/>
        <v>14</v>
      </c>
      <c r="K24" s="16">
        <v>50</v>
      </c>
      <c r="L24" s="16">
        <f t="shared" si="1"/>
        <v>46</v>
      </c>
      <c r="M24" s="16">
        <v>35</v>
      </c>
      <c r="N24" s="16">
        <v>65</v>
      </c>
      <c r="O24" s="16">
        <v>30</v>
      </c>
      <c r="P24" s="16">
        <v>70</v>
      </c>
    </row>
    <row r="25" spans="1:16" ht="20.149999999999999" customHeight="1" x14ac:dyDescent="0.45">
      <c r="A25" s="22">
        <v>15</v>
      </c>
      <c r="B25" s="20">
        <v>45498</v>
      </c>
      <c r="C25" s="20" t="s">
        <v>36</v>
      </c>
      <c r="D25" s="44">
        <v>0.45833333333333331</v>
      </c>
      <c r="E25" s="23">
        <v>53</v>
      </c>
      <c r="F25" s="23">
        <f t="shared" si="2"/>
        <v>3</v>
      </c>
      <c r="G25" s="43" t="s">
        <v>6</v>
      </c>
      <c r="H25" s="24" t="s">
        <v>14</v>
      </c>
      <c r="J25" s="6">
        <f t="shared" si="0"/>
        <v>15</v>
      </c>
      <c r="K25" s="16">
        <v>50</v>
      </c>
      <c r="L25" s="16">
        <f t="shared" si="1"/>
        <v>53</v>
      </c>
      <c r="M25" s="16">
        <v>35</v>
      </c>
      <c r="N25" s="16">
        <v>65</v>
      </c>
      <c r="O25" s="16">
        <v>30</v>
      </c>
      <c r="P25" s="16">
        <v>70</v>
      </c>
    </row>
    <row r="26" spans="1:16" ht="20.149999999999999" customHeight="1" x14ac:dyDescent="0.45">
      <c r="A26" s="22">
        <v>16</v>
      </c>
      <c r="B26" s="20">
        <v>45498</v>
      </c>
      <c r="C26" s="20" t="s">
        <v>36</v>
      </c>
      <c r="D26" s="44">
        <v>0.625</v>
      </c>
      <c r="E26" s="23">
        <v>51</v>
      </c>
      <c r="F26" s="23">
        <f t="shared" si="2"/>
        <v>1</v>
      </c>
      <c r="G26" s="43" t="s">
        <v>6</v>
      </c>
      <c r="H26" s="24" t="s">
        <v>14</v>
      </c>
      <c r="J26" s="6">
        <f t="shared" si="0"/>
        <v>16</v>
      </c>
      <c r="K26" s="16">
        <v>50</v>
      </c>
      <c r="L26" s="16">
        <f t="shared" si="1"/>
        <v>51</v>
      </c>
      <c r="M26" s="16">
        <v>35</v>
      </c>
      <c r="N26" s="16">
        <v>65</v>
      </c>
      <c r="O26" s="16">
        <v>30</v>
      </c>
      <c r="P26" s="16">
        <v>70</v>
      </c>
    </row>
    <row r="27" spans="1:16" ht="20.149999999999999" customHeight="1" x14ac:dyDescent="0.45">
      <c r="A27" s="22">
        <v>17</v>
      </c>
      <c r="B27" s="20">
        <v>45499</v>
      </c>
      <c r="C27" s="20" t="s">
        <v>35</v>
      </c>
      <c r="D27" s="44">
        <v>0.45833333333333331</v>
      </c>
      <c r="E27" s="23">
        <v>46</v>
      </c>
      <c r="F27" s="23">
        <f t="shared" si="2"/>
        <v>-4</v>
      </c>
      <c r="G27" s="43" t="s">
        <v>6</v>
      </c>
      <c r="H27" s="24" t="s">
        <v>14</v>
      </c>
      <c r="J27" s="6">
        <f t="shared" si="0"/>
        <v>17</v>
      </c>
      <c r="K27" s="16">
        <v>50</v>
      </c>
      <c r="L27" s="16">
        <f t="shared" si="1"/>
        <v>46</v>
      </c>
      <c r="M27" s="16">
        <v>35</v>
      </c>
      <c r="N27" s="16">
        <v>65</v>
      </c>
      <c r="O27" s="16">
        <v>30</v>
      </c>
      <c r="P27" s="16">
        <v>70</v>
      </c>
    </row>
    <row r="28" spans="1:16" ht="20.149999999999999" customHeight="1" x14ac:dyDescent="0.45">
      <c r="A28" s="22">
        <v>18</v>
      </c>
      <c r="B28" s="20">
        <v>45499</v>
      </c>
      <c r="C28" s="20" t="s">
        <v>35</v>
      </c>
      <c r="D28" s="44">
        <v>0.625</v>
      </c>
      <c r="E28" s="23">
        <v>49</v>
      </c>
      <c r="F28" s="23">
        <f t="shared" si="2"/>
        <v>-1</v>
      </c>
      <c r="G28" s="43" t="s">
        <v>6</v>
      </c>
      <c r="H28" s="24" t="s">
        <v>14</v>
      </c>
      <c r="J28" s="6">
        <f t="shared" si="0"/>
        <v>18</v>
      </c>
      <c r="K28" s="16">
        <v>50</v>
      </c>
      <c r="L28" s="16">
        <f t="shared" si="1"/>
        <v>49</v>
      </c>
      <c r="M28" s="16">
        <v>35</v>
      </c>
      <c r="N28" s="16">
        <v>65</v>
      </c>
      <c r="O28" s="16">
        <v>30</v>
      </c>
      <c r="P28" s="16">
        <v>70</v>
      </c>
    </row>
    <row r="29" spans="1:16" ht="20.149999999999999" customHeight="1" x14ac:dyDescent="0.45">
      <c r="A29" s="22">
        <v>19</v>
      </c>
      <c r="B29" s="20">
        <v>45500</v>
      </c>
      <c r="C29" s="20" t="s">
        <v>46</v>
      </c>
      <c r="D29" s="44">
        <v>0.45833333333333331</v>
      </c>
      <c r="E29" s="23">
        <v>50</v>
      </c>
      <c r="F29" s="23">
        <f t="shared" si="2"/>
        <v>0</v>
      </c>
      <c r="G29" s="43" t="s">
        <v>6</v>
      </c>
      <c r="H29" s="24" t="s">
        <v>14</v>
      </c>
      <c r="J29" s="6">
        <f t="shared" si="0"/>
        <v>19</v>
      </c>
      <c r="K29" s="16">
        <v>50</v>
      </c>
      <c r="L29" s="16">
        <f t="shared" si="1"/>
        <v>50</v>
      </c>
      <c r="M29" s="16">
        <v>35</v>
      </c>
      <c r="N29" s="16">
        <v>65</v>
      </c>
      <c r="O29" s="16">
        <v>30</v>
      </c>
      <c r="P29" s="16">
        <v>70</v>
      </c>
    </row>
    <row r="30" spans="1:16" ht="20.149999999999999" customHeight="1" x14ac:dyDescent="0.45">
      <c r="A30" s="22">
        <v>20</v>
      </c>
      <c r="B30" s="20">
        <v>45500</v>
      </c>
      <c r="C30" s="20" t="s">
        <v>46</v>
      </c>
      <c r="D30" s="44">
        <v>0.625</v>
      </c>
      <c r="E30" s="23">
        <v>47</v>
      </c>
      <c r="F30" s="23">
        <f t="shared" si="2"/>
        <v>-3</v>
      </c>
      <c r="G30" s="43" t="s">
        <v>6</v>
      </c>
      <c r="H30" s="24" t="s">
        <v>14</v>
      </c>
      <c r="J30" s="6">
        <f t="shared" si="0"/>
        <v>20</v>
      </c>
      <c r="K30" s="16">
        <v>50</v>
      </c>
      <c r="L30" s="16">
        <f t="shared" si="1"/>
        <v>47</v>
      </c>
      <c r="M30" s="16">
        <v>35</v>
      </c>
      <c r="N30" s="16">
        <v>65</v>
      </c>
      <c r="O30" s="16">
        <v>30</v>
      </c>
      <c r="P30" s="16">
        <v>70</v>
      </c>
    </row>
    <row r="31" spans="1:16" ht="20.149999999999999" customHeight="1" x14ac:dyDescent="0.45">
      <c r="A31" s="22">
        <v>21</v>
      </c>
      <c r="B31" s="20">
        <v>45501</v>
      </c>
      <c r="C31" s="20" t="s">
        <v>48</v>
      </c>
      <c r="D31" s="44">
        <v>0.45833333333333331</v>
      </c>
      <c r="E31" s="23">
        <v>56</v>
      </c>
      <c r="F31" s="23">
        <f t="shared" si="2"/>
        <v>6</v>
      </c>
      <c r="G31" s="43" t="s">
        <v>6</v>
      </c>
      <c r="H31" s="24" t="s">
        <v>14</v>
      </c>
      <c r="J31" s="6">
        <f t="shared" si="0"/>
        <v>21</v>
      </c>
      <c r="K31" s="16">
        <v>50</v>
      </c>
      <c r="L31" s="16">
        <f t="shared" si="1"/>
        <v>56</v>
      </c>
      <c r="M31" s="16">
        <v>35</v>
      </c>
      <c r="N31" s="16">
        <v>65</v>
      </c>
      <c r="O31" s="16">
        <v>30</v>
      </c>
      <c r="P31" s="16">
        <v>70</v>
      </c>
    </row>
    <row r="32" spans="1:16" ht="20.149999999999999" customHeight="1" x14ac:dyDescent="0.45">
      <c r="A32" s="22">
        <v>22</v>
      </c>
      <c r="B32" s="20">
        <v>45501</v>
      </c>
      <c r="C32" s="20" t="s">
        <v>48</v>
      </c>
      <c r="D32" s="44">
        <v>0.625</v>
      </c>
      <c r="E32" s="23">
        <v>52</v>
      </c>
      <c r="F32" s="23">
        <f t="shared" si="2"/>
        <v>2</v>
      </c>
      <c r="G32" s="43" t="s">
        <v>6</v>
      </c>
      <c r="H32" s="24" t="s">
        <v>14</v>
      </c>
      <c r="J32" s="6">
        <f t="shared" si="0"/>
        <v>22</v>
      </c>
      <c r="K32" s="16">
        <v>50</v>
      </c>
      <c r="L32" s="16">
        <f t="shared" si="1"/>
        <v>52</v>
      </c>
      <c r="M32" s="16">
        <v>35</v>
      </c>
      <c r="N32" s="16">
        <v>65</v>
      </c>
      <c r="O32" s="16">
        <v>30</v>
      </c>
      <c r="P32" s="16">
        <v>70</v>
      </c>
    </row>
    <row r="33" spans="1:16" ht="20.149999999999999" customHeight="1" x14ac:dyDescent="0.45">
      <c r="A33" s="22">
        <v>23</v>
      </c>
      <c r="B33" s="20">
        <v>45502</v>
      </c>
      <c r="C33" s="20" t="s">
        <v>32</v>
      </c>
      <c r="D33" s="44">
        <v>0.45833333333333331</v>
      </c>
      <c r="E33" s="23">
        <v>53</v>
      </c>
      <c r="F33" s="23">
        <f t="shared" si="2"/>
        <v>3</v>
      </c>
      <c r="G33" s="43" t="s">
        <v>6</v>
      </c>
      <c r="H33" s="24" t="s">
        <v>14</v>
      </c>
      <c r="J33" s="6">
        <f t="shared" si="0"/>
        <v>23</v>
      </c>
      <c r="K33" s="16">
        <v>50</v>
      </c>
      <c r="L33" s="16">
        <f t="shared" si="1"/>
        <v>53</v>
      </c>
      <c r="M33" s="16">
        <v>35</v>
      </c>
      <c r="N33" s="16">
        <v>65</v>
      </c>
      <c r="O33" s="16">
        <v>30</v>
      </c>
      <c r="P33" s="16">
        <v>70</v>
      </c>
    </row>
    <row r="34" spans="1:16" ht="20.149999999999999" customHeight="1" x14ac:dyDescent="0.45">
      <c r="A34" s="22">
        <v>24</v>
      </c>
      <c r="B34" s="20">
        <v>45502</v>
      </c>
      <c r="C34" s="20" t="s">
        <v>32</v>
      </c>
      <c r="D34" s="44">
        <v>0.625</v>
      </c>
      <c r="E34" s="23">
        <v>59</v>
      </c>
      <c r="F34" s="23">
        <f t="shared" si="2"/>
        <v>9</v>
      </c>
      <c r="G34" s="43" t="s">
        <v>6</v>
      </c>
      <c r="H34" s="24" t="s">
        <v>14</v>
      </c>
      <c r="J34" s="6">
        <f t="shared" si="0"/>
        <v>24</v>
      </c>
      <c r="K34" s="16">
        <v>50</v>
      </c>
      <c r="L34" s="16">
        <f t="shared" si="1"/>
        <v>59</v>
      </c>
      <c r="M34" s="16">
        <v>35</v>
      </c>
      <c r="N34" s="16">
        <v>65</v>
      </c>
      <c r="O34" s="16">
        <v>30</v>
      </c>
      <c r="P34" s="16">
        <v>70</v>
      </c>
    </row>
    <row r="35" spans="1:16" ht="20.149999999999999" customHeight="1" x14ac:dyDescent="0.45">
      <c r="A35" s="22">
        <v>25</v>
      </c>
      <c r="B35" s="20">
        <v>45503</v>
      </c>
      <c r="C35" s="20" t="s">
        <v>44</v>
      </c>
      <c r="D35" s="44">
        <v>0.45833333333333331</v>
      </c>
      <c r="E35" s="23">
        <v>50</v>
      </c>
      <c r="F35" s="23">
        <f t="shared" si="2"/>
        <v>0</v>
      </c>
      <c r="G35" s="43" t="s">
        <v>6</v>
      </c>
      <c r="H35" s="24" t="s">
        <v>14</v>
      </c>
      <c r="J35" s="6">
        <f t="shared" si="0"/>
        <v>25</v>
      </c>
      <c r="K35" s="16">
        <v>50</v>
      </c>
      <c r="L35" s="16">
        <f t="shared" si="1"/>
        <v>50</v>
      </c>
      <c r="M35" s="16">
        <v>35</v>
      </c>
      <c r="N35" s="16">
        <v>65</v>
      </c>
      <c r="O35" s="16">
        <v>30</v>
      </c>
      <c r="P35" s="16">
        <v>70</v>
      </c>
    </row>
    <row r="36" spans="1:16" ht="20.149999999999999" customHeight="1" x14ac:dyDescent="0.45">
      <c r="A36" s="22">
        <v>26</v>
      </c>
      <c r="B36" s="20">
        <v>45503</v>
      </c>
      <c r="C36" s="20" t="s">
        <v>44</v>
      </c>
      <c r="D36" s="44">
        <v>0.625</v>
      </c>
      <c r="E36" s="23">
        <v>44</v>
      </c>
      <c r="F36" s="23">
        <f t="shared" si="2"/>
        <v>-6</v>
      </c>
      <c r="G36" s="43" t="s">
        <v>6</v>
      </c>
      <c r="H36" s="24" t="s">
        <v>14</v>
      </c>
      <c r="J36" s="6">
        <f t="shared" si="0"/>
        <v>26</v>
      </c>
      <c r="K36" s="16">
        <v>50</v>
      </c>
      <c r="L36" s="16">
        <f t="shared" si="1"/>
        <v>44</v>
      </c>
      <c r="M36" s="16">
        <v>35</v>
      </c>
      <c r="N36" s="16">
        <v>65</v>
      </c>
      <c r="O36" s="16">
        <v>30</v>
      </c>
      <c r="P36" s="16">
        <v>70</v>
      </c>
    </row>
    <row r="37" spans="1:16" ht="20.149999999999999" customHeight="1" x14ac:dyDescent="0.45">
      <c r="A37" s="22">
        <v>27</v>
      </c>
      <c r="B37" s="20">
        <v>45504</v>
      </c>
      <c r="C37" s="20" t="s">
        <v>45</v>
      </c>
      <c r="D37" s="44">
        <v>0.45833333333333331</v>
      </c>
      <c r="E37" s="23">
        <v>57</v>
      </c>
      <c r="F37" s="23">
        <f t="shared" si="2"/>
        <v>7</v>
      </c>
      <c r="G37" s="43" t="s">
        <v>6</v>
      </c>
      <c r="H37" s="24" t="s">
        <v>14</v>
      </c>
      <c r="J37" s="6">
        <f t="shared" si="0"/>
        <v>27</v>
      </c>
      <c r="K37" s="16">
        <v>50</v>
      </c>
      <c r="L37" s="16">
        <f t="shared" si="1"/>
        <v>57</v>
      </c>
      <c r="M37" s="16">
        <v>35</v>
      </c>
      <c r="N37" s="16">
        <v>65</v>
      </c>
      <c r="O37" s="16">
        <v>30</v>
      </c>
      <c r="P37" s="16">
        <v>70</v>
      </c>
    </row>
    <row r="38" spans="1:16" ht="20.149999999999999" customHeight="1" x14ac:dyDescent="0.45">
      <c r="A38" s="22">
        <v>28</v>
      </c>
      <c r="B38" s="20">
        <v>45504</v>
      </c>
      <c r="C38" s="20" t="s">
        <v>45</v>
      </c>
      <c r="D38" s="44">
        <v>0.625</v>
      </c>
      <c r="E38" s="23">
        <v>47</v>
      </c>
      <c r="F38" s="23">
        <f t="shared" si="2"/>
        <v>-3</v>
      </c>
      <c r="G38" s="43" t="s">
        <v>6</v>
      </c>
      <c r="H38" s="24" t="s">
        <v>14</v>
      </c>
      <c r="J38" s="6">
        <f t="shared" si="0"/>
        <v>28</v>
      </c>
      <c r="K38" s="16">
        <v>50</v>
      </c>
      <c r="L38" s="16">
        <f t="shared" si="1"/>
        <v>47</v>
      </c>
      <c r="M38" s="16">
        <v>35</v>
      </c>
      <c r="N38" s="16">
        <v>65</v>
      </c>
      <c r="O38" s="16">
        <v>30</v>
      </c>
      <c r="P38" s="16">
        <v>70</v>
      </c>
    </row>
    <row r="39" spans="1:16" ht="20.149999999999999" customHeight="1" x14ac:dyDescent="0.45">
      <c r="A39" s="20" t="s">
        <v>33</v>
      </c>
      <c r="B39" s="30">
        <f>AVERAGE(E11:E38)</f>
        <v>50.142857142857146</v>
      </c>
      <c r="C39" s="20" t="s">
        <v>37</v>
      </c>
      <c r="D39" s="23">
        <v>59</v>
      </c>
      <c r="E39" s="23" t="s">
        <v>34</v>
      </c>
      <c r="F39" s="23">
        <v>44</v>
      </c>
      <c r="G39" s="43" t="s">
        <v>6</v>
      </c>
      <c r="H39" s="24" t="s">
        <v>14</v>
      </c>
      <c r="K39" s="16"/>
      <c r="L39" s="16"/>
      <c r="M39" s="16"/>
      <c r="N39" s="16"/>
      <c r="O39" s="16"/>
      <c r="P39" s="16"/>
    </row>
    <row r="40" spans="1:16" ht="51" customHeight="1" x14ac:dyDescent="0.45">
      <c r="A40" s="50" t="s">
        <v>7</v>
      </c>
      <c r="B40" s="25"/>
      <c r="C40" s="25"/>
      <c r="D40" s="26"/>
      <c r="E40" s="26"/>
      <c r="F40" s="26"/>
      <c r="G40" s="26"/>
      <c r="H40" s="26"/>
    </row>
    <row r="41" spans="1:16" ht="20.149999999999999" customHeight="1" x14ac:dyDescent="0.45">
      <c r="A41" s="25"/>
      <c r="B41" s="25"/>
      <c r="C41" s="25"/>
      <c r="D41" s="27" t="s">
        <v>0</v>
      </c>
      <c r="E41" s="27"/>
      <c r="F41" s="25"/>
      <c r="G41" s="27" t="s">
        <v>1</v>
      </c>
      <c r="H41" s="27" t="s">
        <v>2</v>
      </c>
    </row>
    <row r="42" spans="1:16" ht="13" customHeight="1" x14ac:dyDescent="0.45">
      <c r="A42" s="25"/>
      <c r="C42" s="25"/>
      <c r="D42" s="27"/>
      <c r="E42" s="27"/>
      <c r="F42" s="25"/>
      <c r="G42" s="27"/>
      <c r="H42" s="27"/>
    </row>
    <row r="43" spans="1:16" ht="45.5" customHeight="1" x14ac:dyDescent="0.45">
      <c r="A43" s="17" t="s">
        <v>13</v>
      </c>
      <c r="F43" s="18"/>
    </row>
    <row r="44" spans="1:16" x14ac:dyDescent="0.45">
      <c r="D44" s="51" t="s">
        <v>0</v>
      </c>
      <c r="E44" s="51"/>
      <c r="F44" s="25"/>
      <c r="G44" s="51" t="s">
        <v>1</v>
      </c>
      <c r="H44" s="51" t="s">
        <v>2</v>
      </c>
    </row>
    <row r="45" spans="1:16" ht="15" customHeight="1" x14ac:dyDescent="0.45">
      <c r="D45" s="9"/>
      <c r="E45" s="9"/>
      <c r="G45" s="9"/>
      <c r="H45" s="9"/>
    </row>
    <row r="46" spans="1:16" ht="31.5" customHeight="1" x14ac:dyDescent="0.45">
      <c r="A46" s="17"/>
      <c r="D46" s="9"/>
      <c r="E46" s="9"/>
      <c r="F46" s="9"/>
      <c r="G46" s="9"/>
      <c r="H46" s="9"/>
    </row>
    <row r="47" spans="1:16" ht="40" customHeight="1" x14ac:dyDescent="0.45">
      <c r="A47" s="52"/>
      <c r="B47" s="9"/>
      <c r="C47" s="9"/>
      <c r="D47" s="9"/>
      <c r="E47" s="9"/>
      <c r="F47" s="9"/>
      <c r="G47" s="9"/>
      <c r="H47" s="9"/>
    </row>
    <row r="48" spans="1:16" ht="39.5" customHeight="1" x14ac:dyDescent="0.45">
      <c r="A48" s="9"/>
      <c r="B48" s="9"/>
      <c r="C48" s="9"/>
      <c r="D48" s="9"/>
      <c r="E48" s="9"/>
      <c r="F48" s="9"/>
      <c r="G48" s="9"/>
      <c r="H48" s="9"/>
    </row>
    <row r="49" spans="1:8" ht="44.5" customHeight="1" x14ac:dyDescent="0.45">
      <c r="A49" s="9"/>
      <c r="B49" s="9"/>
      <c r="C49" s="9"/>
      <c r="D49" s="9"/>
      <c r="E49" s="9"/>
      <c r="F49" s="9"/>
      <c r="G49" s="9"/>
      <c r="H49" s="9"/>
    </row>
    <row r="50" spans="1:8" x14ac:dyDescent="0.45">
      <c r="A50" s="9"/>
      <c r="B50" s="9"/>
      <c r="C50" s="9"/>
      <c r="D50" s="9"/>
      <c r="E50" s="9"/>
      <c r="F50" s="9"/>
      <c r="G50" s="9"/>
      <c r="H50" s="9"/>
    </row>
    <row r="51" spans="1:8" x14ac:dyDescent="0.45">
      <c r="B51" s="45"/>
    </row>
    <row r="52" spans="1:8" s="29" customFormat="1" x14ac:dyDescent="0.45">
      <c r="B52" s="6"/>
    </row>
    <row r="53" spans="1:8" s="29" customFormat="1" x14ac:dyDescent="0.45">
      <c r="A53" s="46"/>
      <c r="B53" s="9"/>
      <c r="C53" s="45"/>
      <c r="D53" s="47"/>
      <c r="E53" s="45"/>
      <c r="F53" s="47"/>
      <c r="G53" s="48"/>
      <c r="H53" s="49"/>
    </row>
  </sheetData>
  <mergeCells count="1">
    <mergeCell ref="C1:F2"/>
  </mergeCells>
  <printOptions horizontalCentered="1"/>
  <pageMargins left="0.45" right="0.5" top="0.5" bottom="0.25" header="0.3" footer="0.3"/>
  <pageSetup paperSize="9" scale="51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MainHall</vt:lpstr>
      <vt:lpstr>MainHall!Print_Area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 e5440</cp:lastModifiedBy>
  <cp:lastPrinted>2024-08-06T08:08:12Z</cp:lastPrinted>
  <dcterms:created xsi:type="dcterms:W3CDTF">2019-12-19T05:48:48Z</dcterms:created>
  <dcterms:modified xsi:type="dcterms:W3CDTF">2024-08-06T08:08:15Z</dcterms:modified>
</cp:coreProperties>
</file>