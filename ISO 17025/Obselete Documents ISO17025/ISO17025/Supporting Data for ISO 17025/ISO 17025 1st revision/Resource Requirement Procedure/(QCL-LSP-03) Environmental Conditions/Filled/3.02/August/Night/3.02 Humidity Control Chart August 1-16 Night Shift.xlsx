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August\Night\"/>
    </mc:Choice>
  </mc:AlternateContent>
  <xr:revisionPtr revIDLastSave="0" documentId="13_ncr:1_{FAC29D1C-5CB1-45F9-8EE8-D7AEFB561A34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4" l="1"/>
  <c r="F40" i="4"/>
  <c r="F39" i="4"/>
  <c r="L24" i="4" l="1"/>
  <c r="L42" i="4"/>
  <c r="L41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F23" i="4"/>
  <c r="L23" i="4"/>
  <c r="F11" i="4" l="1"/>
  <c r="L39" i="4" l="1"/>
  <c r="L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<sst xmlns="http://schemas.openxmlformats.org/spreadsheetml/2006/main" count="139" uniqueCount="50">
  <si>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</si>
  <si>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</si>
  <si>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</si>
  <si>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</si>
  <si>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</si>
  <si>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</si>
  <si>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</si>
  <si>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</si>
  <si>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</si>
  <si>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</si>
  <si>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</si>
  <si>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</si>
  <si>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</si>
  <si>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</si>
  <si>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</si>
  <si>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</si>
  <si>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</si>
  <si>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</si>
  <si>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</si>
  <si>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</si>
  <si>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</si>
  <si>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</si>
  <si>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</si>
  <si>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</si>
  <si>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</si>
  <si>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</si>
  <si>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</si>
  <si>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</si>
  <si>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</si>
  <si>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</si>
  <si>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</si>
  <si>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</si>
  <si>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</si>
  <si>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</si>
  <si>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</si>
  <si>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</si>
  <si>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</si>
  <si>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</si>
  <si>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</si>
  <si>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</si>
  <si>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</si>
  <si>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</si>
  <si>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</si>
  <si>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</si>
  <si>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</si>
  <si>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</si>
  <si>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</si>
  <si>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</si>
  <si>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Maximum Humidity</t>
  </si>
  <si>
    <t>August-2024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</si>
</sst>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justify" vertical="center" wrapText="1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48</c:v>
                </c:pt>
                <c:pt idx="1">
                  <c:v>54</c:v>
                </c:pt>
                <c:pt idx="2">
                  <c:v>46</c:v>
                </c:pt>
                <c:pt idx="3">
                  <c:v>56</c:v>
                </c:pt>
                <c:pt idx="4">
                  <c:v>49</c:v>
                </c:pt>
                <c:pt idx="5">
                  <c:v>59</c:v>
                </c:pt>
                <c:pt idx="6">
                  <c:v>47</c:v>
                </c:pt>
                <c:pt idx="7">
                  <c:v>58</c:v>
                </c:pt>
                <c:pt idx="8">
                  <c:v>48</c:v>
                </c:pt>
                <c:pt idx="9">
                  <c:v>56</c:v>
                </c:pt>
                <c:pt idx="10">
                  <c:v>45</c:v>
                </c:pt>
                <c:pt idx="11">
                  <c:v>54</c:v>
                </c:pt>
                <c:pt idx="12">
                  <c:v>50</c:v>
                </c:pt>
                <c:pt idx="13">
                  <c:v>59</c:v>
                </c:pt>
                <c:pt idx="14">
                  <c:v>48</c:v>
                </c:pt>
                <c:pt idx="15">
                  <c:v>58</c:v>
                </c:pt>
                <c:pt idx="16">
                  <c:v>50</c:v>
                </c:pt>
                <c:pt idx="17">
                  <c:v>59</c:v>
                </c:pt>
                <c:pt idx="18">
                  <c:v>49</c:v>
                </c:pt>
                <c:pt idx="19">
                  <c:v>57</c:v>
                </c:pt>
                <c:pt idx="20">
                  <c:v>47</c:v>
                </c:pt>
                <c:pt idx="21">
                  <c:v>59</c:v>
                </c:pt>
                <c:pt idx="22">
                  <c:v>49</c:v>
                </c:pt>
                <c:pt idx="23">
                  <c:v>58</c:v>
                </c:pt>
                <c:pt idx="24">
                  <c:v>50</c:v>
                </c:pt>
                <c:pt idx="25">
                  <c:v>57</c:v>
                </c:pt>
                <c:pt idx="26">
                  <c:v>47</c:v>
                </c:pt>
                <c:pt idx="27">
                  <c:v>56</c:v>
                </c:pt>
                <c:pt idx="28">
                  <c:v>46</c:v>
                </c:pt>
                <c:pt idx="29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abSelected="1" view="pageBreakPreview" topLeftCell="A43" zoomScaleNormal="100" zoomScaleSheetLayoutView="100" workbookViewId="0">
      <selection activeCell="A46" sqref="A46:H47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4" t="s">
        <v>3</v>
      </c>
      <c r="D1" s="54"/>
      <c r="E1" s="54"/>
      <c r="F1" s="55"/>
      <c r="G1" s="34" t="s">
        <v>40</v>
      </c>
      <c r="H1" s="35" t="s">
        <v>46</v>
      </c>
    </row>
    <row r="2" spans="1:16" s="29" customFormat="1" ht="14" customHeight="1" thickTop="1" thickBot="1" x14ac:dyDescent="0.5">
      <c r="A2" s="32"/>
      <c r="B2" s="33"/>
      <c r="C2" s="54"/>
      <c r="D2" s="54"/>
      <c r="E2" s="54"/>
      <c r="F2" s="55"/>
      <c r="G2" s="36" t="s">
        <v>41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42</v>
      </c>
      <c r="H3" s="38">
        <v>1</v>
      </c>
    </row>
    <row r="4" spans="1:16" ht="14" customHeight="1" thickTop="1" x14ac:dyDescent="0.45">
      <c r="A4" s="41" t="s">
        <v>4</v>
      </c>
      <c r="B4" s="42" t="s">
        <v>37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38</v>
      </c>
      <c r="E5" s="13" t="s">
        <v>16</v>
      </c>
      <c r="F5" s="42"/>
      <c r="G5" s="12" t="s">
        <v>39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45505</v>
      </c>
      <c r="C11" s="20" t="s">
        <v>36</v>
      </c>
      <c r="D11" s="44">
        <v>0.95833333333333337</v>
      </c>
      <c r="E11" s="23">
        <v>48</v>
      </c>
      <c r="F11" s="23">
        <f>E11-$B$6</f>
        <v>-2</v>
      </c>
      <c r="G11" s="43" t="s">
        <v>6</v>
      </c>
      <c r="H11" s="24" t="s">
        <v>14</v>
      </c>
      <c r="J11" s="6">
        <f t="shared" ref="J11:J42" si="0">A11</f>
        <v>1</v>
      </c>
      <c r="K11" s="16">
        <v>50</v>
      </c>
      <c r="L11" s="16">
        <f t="shared" ref="L11:L38" si="1">E11</f>
        <v>48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45505</v>
      </c>
      <c r="C12" s="20" t="s">
        <v>36</v>
      </c>
      <c r="D12" s="44">
        <v>0.125</v>
      </c>
      <c r="E12" s="23">
        <v>54</v>
      </c>
      <c r="F12" s="23">
        <f t="shared" ref="F12:F40" si="2">E12-$B$6</f>
        <v>4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54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45506</v>
      </c>
      <c r="C13" s="20" t="s">
        <v>35</v>
      </c>
      <c r="D13" s="44">
        <v>0.95833333333333337</v>
      </c>
      <c r="E13" s="23">
        <v>46</v>
      </c>
      <c r="F13" s="23">
        <f t="shared" si="2"/>
        <v>-4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46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45506</v>
      </c>
      <c r="C14" s="20" t="s">
        <v>35</v>
      </c>
      <c r="D14" s="44">
        <v>0.125</v>
      </c>
      <c r="E14" s="23">
        <v>56</v>
      </c>
      <c r="F14" s="23">
        <f t="shared" si="2"/>
        <v>6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56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45507</v>
      </c>
      <c r="C15" s="20" t="s">
        <v>45</v>
      </c>
      <c r="D15" s="44">
        <v>0.95833333333333337</v>
      </c>
      <c r="E15" s="23">
        <v>49</v>
      </c>
      <c r="F15" s="23">
        <f t="shared" si="2"/>
        <v>-1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49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45507</v>
      </c>
      <c r="C16" s="20" t="s">
        <v>45</v>
      </c>
      <c r="D16" s="44">
        <v>0.125</v>
      </c>
      <c r="E16" s="23">
        <v>59</v>
      </c>
      <c r="F16" s="23">
        <f t="shared" si="2"/>
        <v>9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59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45508</v>
      </c>
      <c r="C17" s="20" t="s">
        <v>47</v>
      </c>
      <c r="D17" s="44">
        <v>0.95833333333333337</v>
      </c>
      <c r="E17" s="23">
        <v>47</v>
      </c>
      <c r="F17" s="23">
        <f t="shared" si="2"/>
        <v>-3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47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45508</v>
      </c>
      <c r="C18" s="20" t="s">
        <v>47</v>
      </c>
      <c r="D18" s="44">
        <v>0.125</v>
      </c>
      <c r="E18" s="23">
        <v>58</v>
      </c>
      <c r="F18" s="23">
        <f t="shared" si="2"/>
        <v>8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58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45509</v>
      </c>
      <c r="C19" s="20" t="s">
        <v>32</v>
      </c>
      <c r="D19" s="44">
        <v>0.95833333333333337</v>
      </c>
      <c r="E19" s="23">
        <v>48</v>
      </c>
      <c r="F19" s="23">
        <f t="shared" si="2"/>
        <v>-2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48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45509</v>
      </c>
      <c r="C20" s="20" t="s">
        <v>32</v>
      </c>
      <c r="D20" s="44">
        <v>0.125</v>
      </c>
      <c r="E20" s="23">
        <v>56</v>
      </c>
      <c r="F20" s="23">
        <f t="shared" si="2"/>
        <v>6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56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45510</v>
      </c>
      <c r="C21" s="20" t="s">
        <v>43</v>
      </c>
      <c r="D21" s="44">
        <v>0.95833333333333337</v>
      </c>
      <c r="E21" s="23">
        <v>45</v>
      </c>
      <c r="F21" s="23">
        <f t="shared" si="2"/>
        <v>-5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45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45510</v>
      </c>
      <c r="C22" s="20" t="s">
        <v>43</v>
      </c>
      <c r="D22" s="44">
        <v>0.125</v>
      </c>
      <c r="E22" s="23">
        <v>54</v>
      </c>
      <c r="F22" s="23">
        <f t="shared" si="2"/>
        <v>4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54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45511</v>
      </c>
      <c r="C23" s="20" t="s">
        <v>44</v>
      </c>
      <c r="D23" s="44">
        <v>0.95833333333333337</v>
      </c>
      <c r="E23" s="23">
        <v>50</v>
      </c>
      <c r="F23" s="23">
        <f t="shared" si="2"/>
        <v>0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50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45511</v>
      </c>
      <c r="C24" s="20" t="s">
        <v>44</v>
      </c>
      <c r="D24" s="44">
        <v>0.125</v>
      </c>
      <c r="E24" s="23">
        <v>59</v>
      </c>
      <c r="F24" s="23">
        <f t="shared" si="2"/>
        <v>9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>E24</f>
        <v>59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45512</v>
      </c>
      <c r="C25" s="20" t="s">
        <v>36</v>
      </c>
      <c r="D25" s="44">
        <v>0.95833333333333337</v>
      </c>
      <c r="E25" s="23">
        <v>48</v>
      </c>
      <c r="F25" s="23">
        <f t="shared" si="2"/>
        <v>-2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48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45512</v>
      </c>
      <c r="C26" s="20" t="s">
        <v>36</v>
      </c>
      <c r="D26" s="44">
        <v>0.125</v>
      </c>
      <c r="E26" s="23">
        <v>58</v>
      </c>
      <c r="F26" s="23">
        <f t="shared" si="2"/>
        <v>8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58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45513</v>
      </c>
      <c r="C27" s="20" t="s">
        <v>35</v>
      </c>
      <c r="D27" s="44">
        <v>0.95833333333333337</v>
      </c>
      <c r="E27" s="23">
        <v>50</v>
      </c>
      <c r="F27" s="23">
        <f t="shared" si="2"/>
        <v>0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50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45513</v>
      </c>
      <c r="C28" s="20" t="s">
        <v>35</v>
      </c>
      <c r="D28" s="44">
        <v>0.125</v>
      </c>
      <c r="E28" s="23">
        <v>59</v>
      </c>
      <c r="F28" s="23">
        <f t="shared" si="2"/>
        <v>9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59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45514</v>
      </c>
      <c r="C29" s="20" t="s">
        <v>45</v>
      </c>
      <c r="D29" s="44">
        <v>0.95833333333333337</v>
      </c>
      <c r="E29" s="23">
        <v>49</v>
      </c>
      <c r="F29" s="23">
        <f t="shared" si="2"/>
        <v>-1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49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45514</v>
      </c>
      <c r="C30" s="20" t="s">
        <v>45</v>
      </c>
      <c r="D30" s="44">
        <v>0.125</v>
      </c>
      <c r="E30" s="23">
        <v>57</v>
      </c>
      <c r="F30" s="23">
        <f t="shared" si="2"/>
        <v>7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57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45515</v>
      </c>
      <c r="C31" s="20" t="s">
        <v>47</v>
      </c>
      <c r="D31" s="44">
        <v>0.95833333333333337</v>
      </c>
      <c r="E31" s="23">
        <v>47</v>
      </c>
      <c r="F31" s="23">
        <f t="shared" si="2"/>
        <v>-3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47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45515</v>
      </c>
      <c r="C32" s="20" t="s">
        <v>47</v>
      </c>
      <c r="D32" s="44">
        <v>0.125</v>
      </c>
      <c r="E32" s="23">
        <v>59</v>
      </c>
      <c r="F32" s="23">
        <f t="shared" si="2"/>
        <v>9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59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45516</v>
      </c>
      <c r="C33" s="20" t="s">
        <v>32</v>
      </c>
      <c r="D33" s="44">
        <v>0.95833333333333337</v>
      </c>
      <c r="E33" s="23">
        <v>49</v>
      </c>
      <c r="F33" s="23">
        <f t="shared" si="2"/>
        <v>-1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49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45516</v>
      </c>
      <c r="C34" s="20" t="s">
        <v>32</v>
      </c>
      <c r="D34" s="44">
        <v>0.125</v>
      </c>
      <c r="E34" s="23">
        <v>58</v>
      </c>
      <c r="F34" s="23">
        <f t="shared" si="2"/>
        <v>8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58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45517</v>
      </c>
      <c r="C35" s="20" t="s">
        <v>43</v>
      </c>
      <c r="D35" s="44">
        <v>0.95833333333333337</v>
      </c>
      <c r="E35" s="23">
        <v>50</v>
      </c>
      <c r="F35" s="23">
        <f t="shared" si="2"/>
        <v>0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50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45517</v>
      </c>
      <c r="C36" s="20" t="s">
        <v>43</v>
      </c>
      <c r="D36" s="44">
        <v>0.125</v>
      </c>
      <c r="E36" s="23">
        <v>57</v>
      </c>
      <c r="F36" s="23">
        <f t="shared" si="2"/>
        <v>7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57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45519</v>
      </c>
      <c r="C37" s="20" t="s">
        <v>36</v>
      </c>
      <c r="D37" s="44">
        <v>0.95833333333333337</v>
      </c>
      <c r="E37" s="23">
        <v>47</v>
      </c>
      <c r="F37" s="23">
        <f t="shared" si="2"/>
        <v>-3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47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45519</v>
      </c>
      <c r="C38" s="20" t="s">
        <v>36</v>
      </c>
      <c r="D38" s="44">
        <v>0.125</v>
      </c>
      <c r="E38" s="23">
        <v>56</v>
      </c>
      <c r="F38" s="23">
        <f t="shared" si="2"/>
        <v>6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56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2">
        <v>29</v>
      </c>
      <c r="B39" s="20">
        <v>45520</v>
      </c>
      <c r="C39" s="20" t="s">
        <v>35</v>
      </c>
      <c r="D39" s="44">
        <v>0.95833333333333337</v>
      </c>
      <c r="E39" s="23">
        <v>46</v>
      </c>
      <c r="F39" s="23">
        <f t="shared" si="2"/>
        <v>-4</v>
      </c>
      <c r="G39" s="43" t="s">
        <v>6</v>
      </c>
      <c r="H39" s="24" t="s">
        <v>14</v>
      </c>
      <c r="J39" s="6">
        <f t="shared" si="0"/>
        <v>29</v>
      </c>
      <c r="K39" s="16">
        <v>50</v>
      </c>
      <c r="L39" s="16">
        <f t="shared" ref="L39:L40" si="3">E39</f>
        <v>46</v>
      </c>
      <c r="M39" s="16">
        <v>35</v>
      </c>
      <c r="N39" s="16">
        <v>65</v>
      </c>
      <c r="O39" s="16">
        <v>30</v>
      </c>
      <c r="P39" s="16">
        <v>70</v>
      </c>
    </row>
    <row r="40" spans="1:16" ht="20.149999999999999" customHeight="1" x14ac:dyDescent="0.45">
      <c r="A40" s="22">
        <v>30</v>
      </c>
      <c r="B40" s="20">
        <v>45520</v>
      </c>
      <c r="C40" s="20" t="s">
        <v>35</v>
      </c>
      <c r="D40" s="44">
        <v>0.125</v>
      </c>
      <c r="E40" s="23">
        <v>58</v>
      </c>
      <c r="F40" s="23">
        <f t="shared" si="2"/>
        <v>8</v>
      </c>
      <c r="G40" s="43" t="s">
        <v>6</v>
      </c>
      <c r="H40" s="24" t="s">
        <v>14</v>
      </c>
      <c r="J40" s="6">
        <f t="shared" si="0"/>
        <v>30</v>
      </c>
      <c r="K40" s="16">
        <v>50</v>
      </c>
      <c r="L40" s="16">
        <f t="shared" si="3"/>
        <v>58</v>
      </c>
      <c r="M40" s="16">
        <v>35</v>
      </c>
      <c r="N40" s="16">
        <v>65</v>
      </c>
      <c r="O40" s="16">
        <v>30</v>
      </c>
      <c r="P40" s="16">
        <v>70</v>
      </c>
    </row>
    <row r="41" spans="1:16" ht="20.149999999999999" customHeight="1" x14ac:dyDescent="0.45">
      <c r="A41" s="22"/>
      <c r="B41" s="20"/>
      <c r="C41" s="20"/>
      <c r="D41" s="44"/>
      <c r="E41" s="23"/>
      <c r="F41" s="23"/>
      <c r="G41" s="43"/>
      <c r="H41" s="24" t="s">
        <v>14</v>
      </c>
      <c r="J41" s="6">
        <f t="shared" si="0"/>
        <v>0</v>
      </c>
      <c r="K41" s="16">
        <v>50</v>
      </c>
      <c r="L41" s="16">
        <f>E41</f>
        <v>0</v>
      </c>
      <c r="M41" s="16">
        <v>35</v>
      </c>
      <c r="N41" s="16">
        <v>65</v>
      </c>
      <c r="O41" s="16">
        <v>30</v>
      </c>
      <c r="P41" s="16">
        <v>70</v>
      </c>
    </row>
    <row r="42" spans="1:16" ht="20.149999999999999" customHeight="1" x14ac:dyDescent="0.45">
      <c r="A42" s="22"/>
      <c r="B42" s="20"/>
      <c r="C42" s="20"/>
      <c r="D42" s="44"/>
      <c r="E42" s="23"/>
      <c r="F42" s="23"/>
      <c r="G42" s="43"/>
      <c r="H42" s="24" t="s">
        <v>14</v>
      </c>
      <c r="J42" s="6">
        <f t="shared" si="0"/>
        <v>0</v>
      </c>
      <c r="K42" s="16">
        <v>50</v>
      </c>
      <c r="L42" s="16">
        <f>E42</f>
        <v>0</v>
      </c>
      <c r="M42" s="16">
        <v>35</v>
      </c>
      <c r="N42" s="16">
        <v>65</v>
      </c>
      <c r="O42" s="16">
        <v>30</v>
      </c>
      <c r="P42" s="16">
        <v>70</v>
      </c>
    </row>
    <row r="43" spans="1:16" ht="20.149999999999999" customHeight="1" x14ac:dyDescent="0.45">
      <c r="A43" s="20" t="s">
        <v>33</v>
      </c>
      <c r="B43" s="30">
        <f>AVERAGE(E11:E40)</f>
        <v>52.56666666666667</v>
      </c>
      <c r="C43" s="20" t="s">
        <v>48</v>
      </c>
      <c r="D43" s="23">
        <v>59</v>
      </c>
      <c r="E43" s="23" t="s">
        <v>34</v>
      </c>
      <c r="F43" s="23">
        <v>45</v>
      </c>
      <c r="G43" s="23" t="s">
        <v>6</v>
      </c>
      <c r="H43" s="24" t="s">
        <v>14</v>
      </c>
      <c r="K43" s="16"/>
      <c r="L43" s="16"/>
      <c r="M43" s="16"/>
      <c r="N43" s="16"/>
      <c r="O43" s="16"/>
      <c r="P43" s="16"/>
    </row>
    <row r="44" spans="1:16" ht="51" customHeight="1" x14ac:dyDescent="0.45"/>
    <row r="45" spans="1:16" ht="20.149999999999999" customHeight="1" x14ac:dyDescent="0.45"/>
    <row r="46" spans="1:16" ht="13" customHeight="1" x14ac:dyDescent="0.45">
      <c r="A46" s="45" t="s">
        <v>7</v>
      </c>
      <c r="B46" s="25"/>
      <c r="C46" s="25"/>
      <c r="D46" s="26"/>
      <c r="E46" s="26"/>
      <c r="F46" s="26"/>
      <c r="G46" s="26"/>
      <c r="H46" s="26"/>
    </row>
    <row r="47" spans="1:16" ht="45.5" customHeight="1" x14ac:dyDescent="0.45">
      <c r="A47" s="25"/>
      <c r="B47" s="25"/>
      <c r="C47" s="25"/>
      <c r="D47" s="27" t="s">
        <v>0</v>
      </c>
      <c r="E47" s="27"/>
      <c r="F47" s="25"/>
      <c r="G47" s="27" t="s">
        <v>1</v>
      </c>
      <c r="H47" s="27" t="s">
        <v>2</v>
      </c>
    </row>
    <row r="49" spans="1:8" ht="15" customHeight="1" x14ac:dyDescent="0.45">
      <c r="D49" s="9"/>
      <c r="E49" s="9"/>
      <c r="G49" s="9"/>
      <c r="H49" s="9"/>
    </row>
    <row r="50" spans="1:8" ht="31.5" customHeight="1" x14ac:dyDescent="0.45">
      <c r="A50" s="17"/>
      <c r="D50" s="9"/>
      <c r="E50" s="9"/>
      <c r="F50" s="9"/>
      <c r="G50" s="9"/>
      <c r="H50" s="9"/>
    </row>
    <row r="51" spans="1:8" ht="40" customHeight="1" x14ac:dyDescent="0.45">
      <c r="A51" s="47"/>
      <c r="B51" s="9"/>
      <c r="C51" s="9"/>
      <c r="D51" s="9"/>
      <c r="E51" s="9"/>
      <c r="F51" s="9"/>
      <c r="G51" s="9"/>
      <c r="H51" s="9"/>
    </row>
    <row r="52" spans="1:8" ht="39.5" customHeight="1" x14ac:dyDescent="0.45">
      <c r="A52" s="17" t="s">
        <v>13</v>
      </c>
      <c r="F52" s="18"/>
    </row>
    <row r="53" spans="1:8" ht="44.5" customHeight="1" x14ac:dyDescent="0.45">
      <c r="D53" s="46" t="s">
        <v>0</v>
      </c>
      <c r="E53" s="46"/>
      <c r="F53" s="25"/>
      <c r="G53" s="46" t="s">
        <v>1</v>
      </c>
      <c r="H53" s="46" t="s">
        <v>2</v>
      </c>
    </row>
    <row r="54" spans="1:8" x14ac:dyDescent="0.45">
      <c r="A54" s="9"/>
      <c r="B54" s="9"/>
      <c r="C54" s="9"/>
      <c r="D54" s="9"/>
      <c r="E54" s="9"/>
      <c r="F54" s="9"/>
      <c r="G54" s="9"/>
      <c r="H54" s="9"/>
    </row>
    <row r="55" spans="1:8" x14ac:dyDescent="0.45">
      <c r="A55" s="9"/>
      <c r="B55" s="48"/>
      <c r="C55" s="9"/>
      <c r="D55" s="9"/>
      <c r="E55" s="9"/>
      <c r="F55" s="9"/>
      <c r="G55" s="9"/>
      <c r="H55" s="9"/>
    </row>
    <row r="56" spans="1:8" s="29" customFormat="1" x14ac:dyDescent="0.45">
      <c r="A56" s="49"/>
      <c r="B56" s="9"/>
      <c r="C56" s="49"/>
      <c r="D56" s="49"/>
      <c r="E56" s="49"/>
      <c r="F56" s="49"/>
      <c r="G56" s="49"/>
      <c r="H56" s="49"/>
    </row>
    <row r="57" spans="1:8" s="29" customFormat="1" x14ac:dyDescent="0.45">
      <c r="A57" s="50"/>
      <c r="B57" s="9"/>
      <c r="C57" s="48"/>
      <c r="D57" s="51"/>
      <c r="E57" s="48"/>
      <c r="F57" s="51"/>
      <c r="G57" s="52"/>
      <c r="H57" s="53"/>
    </row>
    <row r="58" spans="1:8" x14ac:dyDescent="0.45">
      <c r="A58" s="9"/>
      <c r="B58" s="9"/>
      <c r="C58" s="9"/>
      <c r="D58" s="9"/>
      <c r="E58" s="9"/>
      <c r="F58" s="9"/>
      <c r="G58" s="9"/>
      <c r="H58" s="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2024-09-03T07:45:26Z</cp:lastPrinted>
  <dcterms:created xsi:type="dcterms:W3CDTF">2019-12-19T05:48:48Z</dcterms:created>
  <dcterms:modified xsi:type="dcterms:W3CDTF">2024-09-03T07:45:30Z</dcterms:modified>
</cp:coreProperties>
</file>