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anuary\Day\"/>
    </mc:Choice>
  </mc:AlternateContent>
  <xr:revisionPtr revIDLastSave="0" documentId="13_ncr:1_{04715089-C1B3-4E2D-970E-145138EB1F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42" i="6"/>
  <c r="L42" i="6"/>
  <c r="F41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<sst xmlns="http://schemas.openxmlformats.org/spreadsheetml/2006/main" count="146" uniqueCount="53">
  <si>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</si>
  <si>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</si>
  <si>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</si>
  <si>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</si>
  <si>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</si>
  <si>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</si>
  <si>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</si>
  <si>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</si>
  <si>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</si>
  <si>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</si>
  <si>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</si>
  <si>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</si>
  <si>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</si>
  <si>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</si>
  <si>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</si>
  <si>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</si>
  <si>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</si>
  <si>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</si>
  <si>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</si>
  <si>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</si>
  <si>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</si>
  <si>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</si>
  <si>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</si>
  <si>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</si>
  <si>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</si>
  <si>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</si>
  <si>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</si>
  <si>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</si>
  <si>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</si>
  <si>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</si>
  <si>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</si>
  <si>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</si>
  <si>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</si>
  <si>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</si>
  <si>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</si>
  <si>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</si>
  <si>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</si>
  <si>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</si>
  <si>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</si>
  <si>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</si>
  <si>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</si>
  <si>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</si>
  <si>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</si>
  <si>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</si>
  <si>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</si>
  <si>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</si>
  <si>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</si>
  <si>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January-2024 (First Half)</t>
  </si>
  <si>
    <t>QCL-FRM-3.03</t>
  </si>
  <si>
    <t>Tuesday</t>
  </si>
  <si>
    <t>Wednesday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</si>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</sst>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23.1</c:v>
                </c:pt>
                <c:pt idx="1">
                  <c:v>23.5</c:v>
                </c:pt>
                <c:pt idx="2">
                  <c:v>22.8</c:v>
                </c:pt>
                <c:pt idx="3">
                  <c:v>23.4</c:v>
                </c:pt>
                <c:pt idx="4">
                  <c:v>22.9</c:v>
                </c:pt>
                <c:pt idx="5">
                  <c:v>23.8</c:v>
                </c:pt>
                <c:pt idx="6">
                  <c:v>23.6</c:v>
                </c:pt>
                <c:pt idx="7">
                  <c:v>24</c:v>
                </c:pt>
                <c:pt idx="8">
                  <c:v>23</c:v>
                </c:pt>
                <c:pt idx="9">
                  <c:v>23.8</c:v>
                </c:pt>
                <c:pt idx="10">
                  <c:v>22.6</c:v>
                </c:pt>
                <c:pt idx="11">
                  <c:v>24.1</c:v>
                </c:pt>
                <c:pt idx="12">
                  <c:v>23.9</c:v>
                </c:pt>
                <c:pt idx="13">
                  <c:v>24.7</c:v>
                </c:pt>
                <c:pt idx="14">
                  <c:v>23.1</c:v>
                </c:pt>
                <c:pt idx="15">
                  <c:v>23.7</c:v>
                </c:pt>
                <c:pt idx="16">
                  <c:v>22.5</c:v>
                </c:pt>
                <c:pt idx="17">
                  <c:v>23.1</c:v>
                </c:pt>
                <c:pt idx="18">
                  <c:v>22.4</c:v>
                </c:pt>
                <c:pt idx="19">
                  <c:v>23.7</c:v>
                </c:pt>
                <c:pt idx="20">
                  <c:v>23.2</c:v>
                </c:pt>
                <c:pt idx="21">
                  <c:v>23.9</c:v>
                </c:pt>
                <c:pt idx="22">
                  <c:v>22.7</c:v>
                </c:pt>
                <c:pt idx="23">
                  <c:v>23.4</c:v>
                </c:pt>
                <c:pt idx="24">
                  <c:v>23</c:v>
                </c:pt>
                <c:pt idx="25">
                  <c:v>23.9</c:v>
                </c:pt>
                <c:pt idx="26">
                  <c:v>23.6</c:v>
                </c:pt>
                <c:pt idx="27">
                  <c:v>24.2</c:v>
                </c:pt>
                <c:pt idx="28">
                  <c:v>22.4</c:v>
                </c:pt>
                <c:pt idx="29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4" zoomScaleNormal="100" zoomScaleSheetLayoutView="100" workbookViewId="0">
      <selection activeCell="D4" sqref="D4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48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47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45292</v>
      </c>
      <c r="C11" s="20" t="s">
        <v>38</v>
      </c>
      <c r="D11" s="46">
        <v>0.45833333333333331</v>
      </c>
      <c r="E11" s="22">
        <v>23.1</v>
      </c>
      <c r="F11" s="22">
        <f t="shared" ref="F11:F33" si="0">E11-$D$6</f>
        <v>-1.8999999999999986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23.1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45292</v>
      </c>
      <c r="C12" s="20" t="s">
        <v>38</v>
      </c>
      <c r="D12" s="46">
        <v>0.625</v>
      </c>
      <c r="E12" s="22">
        <v>23.5</v>
      </c>
      <c r="F12" s="22">
        <f t="shared" si="0"/>
        <v>-1.5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23.5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45293</v>
      </c>
      <c r="C13" s="20" t="s">
        <v>49</v>
      </c>
      <c r="D13" s="46">
        <v>0.45833333333333331</v>
      </c>
      <c r="E13" s="22">
        <v>22.8</v>
      </c>
      <c r="F13" s="22">
        <f t="shared" si="0"/>
        <v>-2.1999999999999993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22.8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45293</v>
      </c>
      <c r="C14" s="20" t="s">
        <v>49</v>
      </c>
      <c r="D14" s="46">
        <v>0.625</v>
      </c>
      <c r="E14" s="22">
        <v>23.4</v>
      </c>
      <c r="F14" s="22">
        <f t="shared" si="0"/>
        <v>-1.6000000000000014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23.4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45294</v>
      </c>
      <c r="C15" s="20" t="s">
        <v>50</v>
      </c>
      <c r="D15" s="46">
        <v>0.45833333333333331</v>
      </c>
      <c r="E15" s="22">
        <v>22.9</v>
      </c>
      <c r="F15" s="22">
        <f t="shared" si="0"/>
        <v>-2.1000000000000014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22.9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45294</v>
      </c>
      <c r="C16" s="20" t="s">
        <v>50</v>
      </c>
      <c r="D16" s="46">
        <v>0.625</v>
      </c>
      <c r="E16" s="22">
        <v>23.8</v>
      </c>
      <c r="F16" s="22">
        <f t="shared" si="0"/>
        <v>-1.1999999999999993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23.8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45295</v>
      </c>
      <c r="C17" s="20" t="s">
        <v>43</v>
      </c>
      <c r="D17" s="46">
        <v>0.45833333333333331</v>
      </c>
      <c r="E17" s="22">
        <v>23.6</v>
      </c>
      <c r="F17" s="22">
        <f t="shared" si="0"/>
        <v>-1.3999999999999986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23.6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45295</v>
      </c>
      <c r="C18" s="20" t="s">
        <v>43</v>
      </c>
      <c r="D18" s="46">
        <v>0.625</v>
      </c>
      <c r="E18" s="22">
        <v>24</v>
      </c>
      <c r="F18" s="22">
        <f t="shared" si="0"/>
        <v>-1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24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45296</v>
      </c>
      <c r="C19" s="20" t="s">
        <v>42</v>
      </c>
      <c r="D19" s="46">
        <v>0.45833333333333331</v>
      </c>
      <c r="E19" s="22">
        <v>23</v>
      </c>
      <c r="F19" s="22">
        <f t="shared" si="0"/>
        <v>-2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45296</v>
      </c>
      <c r="C20" s="20" t="s">
        <v>42</v>
      </c>
      <c r="D20" s="46">
        <v>0.625</v>
      </c>
      <c r="E20" s="22">
        <v>23.8</v>
      </c>
      <c r="F20" s="22">
        <f t="shared" si="0"/>
        <v>-1.1999999999999993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23.8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45297</v>
      </c>
      <c r="C21" s="20" t="s">
        <v>51</v>
      </c>
      <c r="D21" s="46">
        <v>0.45833333333333331</v>
      </c>
      <c r="E21" s="22">
        <v>22.6</v>
      </c>
      <c r="F21" s="22">
        <f t="shared" si="0"/>
        <v>-2.3999999999999986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22.6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45297</v>
      </c>
      <c r="C22" s="20" t="s">
        <v>51</v>
      </c>
      <c r="D22" s="46">
        <v>0.625</v>
      </c>
      <c r="E22" s="22">
        <v>24.1</v>
      </c>
      <c r="F22" s="22">
        <f>E22-$D$6</f>
        <v>-0.89999999999999858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24.1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45298</v>
      </c>
      <c r="C23" s="20" t="s">
        <v>52</v>
      </c>
      <c r="D23" s="46">
        <v>0.45833333333333331</v>
      </c>
      <c r="E23" s="22">
        <v>23.9</v>
      </c>
      <c r="F23" s="22">
        <f>E23-$D$6</f>
        <v>-1.1000000000000014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23.9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45298</v>
      </c>
      <c r="C24" s="20" t="s">
        <v>52</v>
      </c>
      <c r="D24" s="46">
        <v>0.625</v>
      </c>
      <c r="E24" s="22">
        <v>24.7</v>
      </c>
      <c r="F24" s="22">
        <f>E24-$D$6</f>
        <v>-0.30000000000000071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45299</v>
      </c>
      <c r="C25" s="20" t="s">
        <v>38</v>
      </c>
      <c r="D25" s="46">
        <v>0.45833333333333331</v>
      </c>
      <c r="E25" s="22">
        <v>23.1</v>
      </c>
      <c r="F25" s="22">
        <f t="shared" si="0"/>
        <v>-1.8999999999999986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23.1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45299</v>
      </c>
      <c r="C26" s="20" t="s">
        <v>38</v>
      </c>
      <c r="D26" s="46">
        <v>0.625</v>
      </c>
      <c r="E26" s="22">
        <v>23.7</v>
      </c>
      <c r="F26" s="22">
        <f t="shared" si="0"/>
        <v>-1.3000000000000007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23.7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45300</v>
      </c>
      <c r="C27" s="20" t="s">
        <v>49</v>
      </c>
      <c r="D27" s="46">
        <v>0.45833333333333331</v>
      </c>
      <c r="E27" s="22">
        <v>22.5</v>
      </c>
      <c r="F27" s="22">
        <f t="shared" si="0"/>
        <v>-2.5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22.5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45300</v>
      </c>
      <c r="C28" s="20" t="s">
        <v>49</v>
      </c>
      <c r="D28" s="46">
        <v>0.625</v>
      </c>
      <c r="E28" s="22">
        <v>23.1</v>
      </c>
      <c r="F28" s="22">
        <f t="shared" si="0"/>
        <v>-1.8999999999999986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23.1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45301</v>
      </c>
      <c r="C29" s="20" t="s">
        <v>50</v>
      </c>
      <c r="D29" s="46">
        <v>0.45833333333333331</v>
      </c>
      <c r="E29" s="22">
        <v>22.4</v>
      </c>
      <c r="F29" s="22">
        <f t="shared" si="0"/>
        <v>-2.6000000000000014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22.4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45301</v>
      </c>
      <c r="C30" s="20" t="s">
        <v>50</v>
      </c>
      <c r="D30" s="46">
        <v>0.625</v>
      </c>
      <c r="E30" s="22">
        <v>23.7</v>
      </c>
      <c r="F30" s="22">
        <f t="shared" si="0"/>
        <v>-1.3000000000000007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23.7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45302</v>
      </c>
      <c r="C31" s="20" t="s">
        <v>43</v>
      </c>
      <c r="D31" s="46">
        <v>0.45833333333333331</v>
      </c>
      <c r="E31" s="22">
        <v>23.2</v>
      </c>
      <c r="F31" s="22">
        <f t="shared" si="0"/>
        <v>-1.8000000000000007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23.2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45302</v>
      </c>
      <c r="C32" s="20" t="s">
        <v>43</v>
      </c>
      <c r="D32" s="46">
        <v>0.625</v>
      </c>
      <c r="E32" s="22">
        <v>23.9</v>
      </c>
      <c r="F32" s="22">
        <f t="shared" si="0"/>
        <v>-1.1000000000000014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23.9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45303</v>
      </c>
      <c r="C33" s="20" t="s">
        <v>42</v>
      </c>
      <c r="D33" s="46">
        <v>0.45833333333333331</v>
      </c>
      <c r="E33" s="22">
        <v>22.7</v>
      </c>
      <c r="F33" s="22">
        <f t="shared" si="0"/>
        <v>-2.3000000000000007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22.7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45303</v>
      </c>
      <c r="C34" s="20" t="s">
        <v>42</v>
      </c>
      <c r="D34" s="46">
        <v>0.625</v>
      </c>
      <c r="E34" s="22">
        <v>23.4</v>
      </c>
      <c r="F34" s="22">
        <f t="shared" ref="F34:F42" si="3">E34-$D$6</f>
        <v>-1.6000000000000014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23.4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45304</v>
      </c>
      <c r="C35" s="20" t="s">
        <v>51</v>
      </c>
      <c r="D35" s="46">
        <v>0.45833333333333331</v>
      </c>
      <c r="E35" s="22">
        <v>23</v>
      </c>
      <c r="F35" s="22">
        <f t="shared" si="3"/>
        <v>-2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23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45304</v>
      </c>
      <c r="C36" s="20" t="s">
        <v>51</v>
      </c>
      <c r="D36" s="46">
        <v>0.625</v>
      </c>
      <c r="E36" s="22">
        <v>23.9</v>
      </c>
      <c r="F36" s="22">
        <f t="shared" si="3"/>
        <v>-1.1000000000000014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23.9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45305</v>
      </c>
      <c r="C37" s="20" t="s">
        <v>52</v>
      </c>
      <c r="D37" s="46">
        <v>0.45833333333333331</v>
      </c>
      <c r="E37" s="22">
        <v>23.6</v>
      </c>
      <c r="F37" s="22">
        <f t="shared" si="3"/>
        <v>-1.3999999999999986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23.6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45305</v>
      </c>
      <c r="C38" s="20" t="s">
        <v>52</v>
      </c>
      <c r="D38" s="46">
        <v>0.625</v>
      </c>
      <c r="E38" s="22">
        <v>24.2</v>
      </c>
      <c r="F38" s="22">
        <f t="shared" si="3"/>
        <v>-0.80000000000000071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24.2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45306</v>
      </c>
      <c r="C39" s="20" t="s">
        <v>38</v>
      </c>
      <c r="D39" s="46">
        <v>0.45833333333333331</v>
      </c>
      <c r="E39" s="22">
        <v>22.4</v>
      </c>
      <c r="F39" s="22">
        <f t="shared" si="3"/>
        <v>-2.6000000000000014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22.4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45306</v>
      </c>
      <c r="C40" s="20" t="s">
        <v>38</v>
      </c>
      <c r="D40" s="46">
        <v>0.625</v>
      </c>
      <c r="E40" s="22">
        <v>23.7</v>
      </c>
      <c r="F40" s="22">
        <f t="shared" si="3"/>
        <v>-1.3000000000000007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23.7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>
        <v>31</v>
      </c>
      <c r="B41" s="20">
        <v>45307</v>
      </c>
      <c r="C41" s="20" t="s">
        <v>49</v>
      </c>
      <c r="D41" s="47">
        <v>0.45833333333333331</v>
      </c>
      <c r="E41" s="22">
        <v>22.8</v>
      </c>
      <c r="F41" s="37">
        <f t="shared" si="3"/>
        <v>-2.1999999999999993</v>
      </c>
      <c r="G41" s="26" t="s">
        <v>8</v>
      </c>
      <c r="H41" s="23" t="s">
        <v>16</v>
      </c>
      <c r="J41" s="30">
        <f t="shared" si="1"/>
        <v>31</v>
      </c>
      <c r="K41" s="31">
        <v>25</v>
      </c>
      <c r="L41" s="31">
        <f t="shared" si="4"/>
        <v>22.8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>
        <v>32</v>
      </c>
      <c r="B42" s="20">
        <v>45307</v>
      </c>
      <c r="C42" s="20" t="s">
        <v>49</v>
      </c>
      <c r="D42" s="47">
        <v>0.625</v>
      </c>
      <c r="E42" s="22">
        <v>23.2</v>
      </c>
      <c r="F42" s="37">
        <f t="shared" si="3"/>
        <v>-1.8000000000000007</v>
      </c>
      <c r="G42" s="26" t="s">
        <v>8</v>
      </c>
      <c r="H42" s="23" t="s">
        <v>16</v>
      </c>
      <c r="J42" s="30">
        <f t="shared" si="1"/>
        <v>32</v>
      </c>
      <c r="K42" s="31">
        <v>25</v>
      </c>
      <c r="L42" s="31">
        <f t="shared" si="4"/>
        <v>23.2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AVERAGE(E11:E42)</f>
        <v>23.365625000000005</v>
      </c>
      <c r="C43" s="20" t="s">
        <v>40</v>
      </c>
      <c r="D43" s="37">
        <v>24.7</v>
      </c>
      <c r="E43" s="22" t="s">
        <v>41</v>
      </c>
      <c r="F43" s="37">
        <v>22.4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2024-05-20T11:35:22Z</cp:lastPrinted>
  <dcterms:created xsi:type="dcterms:W3CDTF">2019-12-19T05:48:48Z</dcterms:created>
  <dcterms:modified xsi:type="dcterms:W3CDTF">2024-05-22T11:40:00Z</dcterms:modified>
</cp:coreProperties>
</file>