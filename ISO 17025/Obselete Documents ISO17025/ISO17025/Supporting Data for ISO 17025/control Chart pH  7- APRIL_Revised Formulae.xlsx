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april 2022\"/>
    </mc:Choice>
  </mc:AlternateContent>
  <bookViews>
    <workbookView xWindow="-120" yWindow="-120" windowWidth="20730" windowHeight="11160"/>
  </bookViews>
  <sheets>
    <sheet name="pH 7.00" sheetId="2" r:id="rId1"/>
  </sheets>
  <definedNames>
    <definedName name="_xlnm.Print_Area" localSheetId="0">'pH 7.00'!$A$1:$G$47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6" i="2" l="1"/>
  <c r="D12" i="2" l="1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6" i="2" l="1"/>
  <c r="K12" i="2" s="1"/>
  <c r="I30" i="2"/>
  <c r="I31" i="2"/>
  <c r="I32" i="2"/>
  <c r="I33" i="2"/>
  <c r="I34" i="2"/>
  <c r="I35" i="2"/>
  <c r="K34" i="2" l="1"/>
  <c r="K30" i="2"/>
  <c r="K26" i="2"/>
  <c r="K22" i="2"/>
  <c r="K18" i="2"/>
  <c r="K14" i="2"/>
  <c r="K35" i="2"/>
  <c r="K27" i="2"/>
  <c r="K33" i="2"/>
  <c r="K29" i="2"/>
  <c r="K25" i="2"/>
  <c r="K21" i="2"/>
  <c r="K17" i="2"/>
  <c r="K13" i="2"/>
  <c r="K31" i="2"/>
  <c r="K23" i="2"/>
  <c r="K19" i="2"/>
  <c r="K15" i="2"/>
  <c r="D11" i="2"/>
  <c r="K32" i="2"/>
  <c r="K28" i="2"/>
  <c r="K24" i="2"/>
  <c r="K20" i="2"/>
  <c r="K16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K11" i="2"/>
  <c r="I11" i="2"/>
  <c r="B7" i="2" l="1"/>
  <c r="F8" i="2"/>
  <c r="B8" i="2"/>
  <c r="F7" i="2"/>
  <c r="M21" i="2" l="1"/>
  <c r="M16" i="2"/>
  <c r="M26" i="2"/>
  <c r="M31" i="2"/>
  <c r="M17" i="2"/>
  <c r="M22" i="2"/>
  <c r="M24" i="2"/>
  <c r="M11" i="2"/>
  <c r="M29" i="2"/>
  <c r="M32" i="2"/>
  <c r="M34" i="2"/>
  <c r="M20" i="2"/>
  <c r="M25" i="2"/>
  <c r="M30" i="2"/>
  <c r="M19" i="2"/>
  <c r="M12" i="2"/>
  <c r="M15" i="2"/>
  <c r="M28" i="2"/>
  <c r="M33" i="2"/>
  <c r="M13" i="2"/>
  <c r="M35" i="2"/>
  <c r="M18" i="2"/>
  <c r="M23" i="2"/>
  <c r="M14" i="2"/>
  <c r="M27" i="2"/>
  <c r="N14" i="2"/>
  <c r="N24" i="2"/>
  <c r="N12" i="2"/>
  <c r="N15" i="2"/>
  <c r="N28" i="2"/>
  <c r="N33" i="2"/>
  <c r="N19" i="2"/>
  <c r="N22" i="2"/>
  <c r="N32" i="2"/>
  <c r="N18" i="2"/>
  <c r="N23" i="2"/>
  <c r="N13" i="2"/>
  <c r="N11" i="2"/>
  <c r="N27" i="2"/>
  <c r="N30" i="2"/>
  <c r="N21" i="2"/>
  <c r="N26" i="2"/>
  <c r="N31" i="2"/>
  <c r="N17" i="2"/>
  <c r="N16" i="2"/>
  <c r="N20" i="2"/>
  <c r="N35" i="2"/>
  <c r="N25" i="2"/>
  <c r="N34" i="2"/>
  <c r="N29" i="2"/>
  <c r="O25" i="2"/>
  <c r="O24" i="2"/>
  <c r="O12" i="2"/>
  <c r="O15" i="2"/>
  <c r="O33" i="2"/>
  <c r="O22" i="2"/>
  <c r="O19" i="2"/>
  <c r="O32" i="2"/>
  <c r="O18" i="2"/>
  <c r="O23" i="2"/>
  <c r="O14" i="2"/>
  <c r="O30" i="2"/>
  <c r="O27" i="2"/>
  <c r="O21" i="2"/>
  <c r="O26" i="2"/>
  <c r="O31" i="2"/>
  <c r="O13" i="2"/>
  <c r="O11" i="2"/>
  <c r="O20" i="2"/>
  <c r="O34" i="2"/>
  <c r="O17" i="2"/>
  <c r="O28" i="2"/>
  <c r="O16" i="2"/>
  <c r="O35" i="2"/>
  <c r="O29" i="2"/>
  <c r="L12" i="2"/>
  <c r="L21" i="2"/>
  <c r="L31" i="2"/>
  <c r="L17" i="2"/>
  <c r="L22" i="2"/>
  <c r="L27" i="2"/>
  <c r="L26" i="2"/>
  <c r="L29" i="2"/>
  <c r="L20" i="2"/>
  <c r="L25" i="2"/>
  <c r="L30" i="2"/>
  <c r="L35" i="2"/>
  <c r="L24" i="2"/>
  <c r="L34" i="2"/>
  <c r="L15" i="2"/>
  <c r="L28" i="2"/>
  <c r="L33" i="2"/>
  <c r="L13" i="2"/>
  <c r="L18" i="2"/>
  <c r="L23" i="2"/>
  <c r="L32" i="2"/>
  <c r="L14" i="2"/>
  <c r="L19" i="2"/>
  <c r="L11" i="2"/>
  <c r="L16" i="2"/>
</calcChain>
</file>

<file path=xl/sharedStrings.xml><?xml version="1.0" encoding="utf-8"?>
<sst xmlns="http://schemas.openxmlformats.org/spreadsheetml/2006/main" count="54" uniqueCount="47">
  <si>
    <t>Page 1 of 1</t>
  </si>
  <si>
    <t>Name</t>
  </si>
  <si>
    <t>Signature</t>
  </si>
  <si>
    <t>Date</t>
  </si>
  <si>
    <t>CONTROL CHART FORM</t>
  </si>
  <si>
    <t>Measurand:</t>
  </si>
  <si>
    <t>Technique:</t>
  </si>
  <si>
    <t>Method Reference:</t>
  </si>
  <si>
    <t>Measuring Equipment:</t>
  </si>
  <si>
    <t>Accepted Value:</t>
  </si>
  <si>
    <t>Control Description:</t>
  </si>
  <si>
    <t>Control Source:</t>
  </si>
  <si>
    <t>Remarks</t>
  </si>
  <si>
    <t>Target</t>
  </si>
  <si>
    <t>Recovery</t>
  </si>
  <si>
    <t>Lower Control Limit</t>
  </si>
  <si>
    <t>Upper Control Limit</t>
  </si>
  <si>
    <t>Lower Action Limit</t>
  </si>
  <si>
    <t>Upper Action Limit</t>
  </si>
  <si>
    <t>No.</t>
  </si>
  <si>
    <t>Action Required, if any</t>
  </si>
  <si>
    <t xml:space="preserve">pH  </t>
  </si>
  <si>
    <t>APHA 4500-H+ B</t>
  </si>
  <si>
    <t>Electrometric</t>
  </si>
  <si>
    <t>Value No.</t>
  </si>
  <si>
    <t>QAM Remarks:</t>
  </si>
  <si>
    <t>External</t>
  </si>
  <si>
    <t>CRM pH 7.00 ,VWR Cat. 32096.291, Lot 20A164122, Exp. 9/01/22</t>
  </si>
  <si>
    <t>Doc. No:</t>
  </si>
  <si>
    <t>SOP-019/F-02</t>
  </si>
  <si>
    <t>Rev.</t>
  </si>
  <si>
    <t>Effective:</t>
  </si>
  <si>
    <t>Reviewed By:</t>
  </si>
  <si>
    <t>Upper Control Limit (%) :</t>
  </si>
  <si>
    <t>Upper Action Limit (%):</t>
  </si>
  <si>
    <t>Lower Control Limit (%):</t>
  </si>
  <si>
    <t>Lower Action Limit (%):</t>
  </si>
  <si>
    <t>Sana Ashraf</t>
  </si>
  <si>
    <t>M.Arfan</t>
  </si>
  <si>
    <t>pH meter Cheetah (ESP-LAB-EQP-006), pH Electrode REAGEN</t>
  </si>
  <si>
    <t xml:space="preserve">  </t>
  </si>
  <si>
    <t>Mean Value:</t>
  </si>
  <si>
    <t>Standard Deviation (%):</t>
  </si>
  <si>
    <t>Measured Value (Percent of Mean)</t>
  </si>
  <si>
    <t>M.Zubair</t>
  </si>
  <si>
    <t xml:space="preserve">Measured Value </t>
  </si>
  <si>
    <t xml:space="preserve">Deviation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</si>
</sst>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0.0000"/>
    <numFmt numFmtId="166" formatCode="0.0"/>
    <numFmt numFmtId="167" formatCode="[$-409]dd/mmm/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1"/>
      <color theme="1"/>
      <name val="Segoe UI"/>
      <family val="2"/>
    </font>
    <font>
      <i/>
      <sz val="11"/>
      <color theme="1"/>
      <name val="Segoe UI"/>
      <family val="2"/>
    </font>
    <font>
      <b/>
      <sz val="10"/>
      <color theme="1"/>
      <name val="Segoe UI"/>
      <family val="2"/>
    </font>
    <font>
      <sz val="11"/>
      <color theme="1"/>
      <name val="Seoge UI"/>
    </font>
    <font>
      <sz val="10"/>
      <color theme="1"/>
      <name val="Segoe UI"/>
      <family val="2"/>
    </font>
    <font>
      <i/>
      <sz val="11"/>
      <color theme="1"/>
      <name val="Segoe UI Symbol"/>
      <family val="2"/>
    </font>
    <font>
      <sz val="11"/>
      <color theme="1"/>
      <name val="Segoe UI Symbol"/>
      <family val="2"/>
    </font>
    <font>
      <sz val="9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/>
    </xf>
    <xf numFmtId="164" fontId="9" fillId="0" borderId="3" xfId="0" applyNumberFormat="1" applyFont="1" applyBorder="1" applyAlignment="1">
      <alignment horizontal="left"/>
    </xf>
    <xf numFmtId="0" fontId="5" fillId="0" borderId="10" xfId="0" applyFont="1" applyFill="1" applyBorder="1" applyAlignment="1">
      <alignment horizontal="center" vertical="center" wrapText="1"/>
    </xf>
    <xf numFmtId="166" fontId="0" fillId="0" borderId="0" xfId="0" applyNumberFormat="1" applyFont="1"/>
    <xf numFmtId="166" fontId="9" fillId="0" borderId="3" xfId="0" applyNumberFormat="1" applyFont="1" applyBorder="1" applyAlignment="1">
      <alignment horizontal="left"/>
    </xf>
    <xf numFmtId="0" fontId="7" fillId="0" borderId="0" xfId="0" applyFont="1" applyFill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/>
    </xf>
    <xf numFmtId="167" fontId="1" fillId="0" borderId="1" xfId="0" applyNumberFormat="1" applyFont="1" applyBorder="1" applyAlignment="1">
      <alignment horizontal="center" vertical="center"/>
    </xf>
    <xf numFmtId="166" fontId="6" fillId="0" borderId="1" xfId="0" quotePrefix="1" applyNumberFormat="1" applyFont="1" applyBorder="1" applyAlignment="1">
      <alignment horizontal="center"/>
    </xf>
    <xf numFmtId="49" fontId="9" fillId="0" borderId="4" xfId="0" quotePrefix="1" applyNumberFormat="1" applyFont="1" applyBorder="1" applyAlignment="1">
      <alignment horizontal="left"/>
    </xf>
    <xf numFmtId="165" fontId="9" fillId="0" borderId="4" xfId="0" applyNumberFormat="1" applyFont="1" applyBorder="1" applyAlignment="1">
      <alignment horizontal="left"/>
    </xf>
    <xf numFmtId="0" fontId="0" fillId="0" borderId="1" xfId="0" applyFont="1" applyBorder="1" applyAlignment="1">
      <alignment horizontal="center" vertical="center"/>
    </xf>
    <xf numFmtId="49" fontId="9" fillId="0" borderId="4" xfId="0" quotePrefix="1" applyNumberFormat="1" applyFont="1" applyBorder="1" applyAlignment="1">
      <alignment horizontal="left" vertical="center"/>
    </xf>
    <xf numFmtId="2" fontId="9" fillId="0" borderId="3" xfId="0" applyNumberFormat="1" applyFont="1" applyBorder="1" applyAlignment="1">
      <alignment horizontal="left"/>
    </xf>
    <xf numFmtId="167" fontId="1" fillId="0" borderId="0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1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15" fontId="12" fillId="0" borderId="11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0" fillId="0" borderId="5" xfId="0" applyFont="1" applyBorder="1" applyAlignment="1">
      <alignment horizontal="left" wrapText="1"/>
    </xf>
    <xf numFmtId="0" fontId="8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left"/>
    </xf>
    <xf numFmtId="0" fontId="8" fillId="0" borderId="5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4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4" fontId="1" fillId="0" borderId="8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Chart for pH 7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'pH 7.00'!$I$10</c:f>
              <c:strCache>
                <c:ptCount val="1"/>
                <c:pt idx="0">
                  <c:v>No.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'pH 7.00'!$I$11:$I$35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263-47D4-A6B2-49A4436AE885}"/>
            </c:ext>
          </c:extLst>
        </c:ser>
        <c:ser>
          <c:idx val="2"/>
          <c:order val="1"/>
          <c:tx>
            <c:strRef>
              <c:f>'pH 7.00'!$J$10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'pH 7.00'!$J$11:$J$35</c:f>
              <c:numCache>
                <c:formatCode>General</c:formatCode>
                <c:ptCount val="2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263-47D4-A6B2-49A4436AE885}"/>
            </c:ext>
          </c:extLst>
        </c:ser>
        <c:ser>
          <c:idx val="3"/>
          <c:order val="2"/>
          <c:tx>
            <c:strRef>
              <c:f>'pH 7.00'!$K$10</c:f>
              <c:strCache>
                <c:ptCount val="1"/>
                <c:pt idx="0">
                  <c:v>Recovery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B0F0"/>
                </a:solidFill>
              </a:ln>
              <a:effectLst/>
            </c:spPr>
          </c:marker>
          <c:val>
            <c:numRef>
              <c:f>'pH 7.00'!$K$11:$K$35</c:f>
              <c:numCache>
                <c:formatCode>0.0</c:formatCode>
                <c:ptCount val="25"/>
                <c:pt idx="0">
                  <c:v>100.3738855335059</c:v>
                </c:pt>
                <c:pt idx="1">
                  <c:v>100.3738855335059</c:v>
                </c:pt>
                <c:pt idx="2">
                  <c:v>100.5176876617774</c:v>
                </c:pt>
                <c:pt idx="3">
                  <c:v>100.5176876617774</c:v>
                </c:pt>
                <c:pt idx="4">
                  <c:v>100.3738855335059</c:v>
                </c:pt>
                <c:pt idx="5">
                  <c:v>100.66148979004889</c:v>
                </c:pt>
                <c:pt idx="6">
                  <c:v>100.66148979004889</c:v>
                </c:pt>
                <c:pt idx="7">
                  <c:v>100.66148979004889</c:v>
                </c:pt>
                <c:pt idx="8">
                  <c:v>100.66148979004889</c:v>
                </c:pt>
                <c:pt idx="9">
                  <c:v>100.66148979004889</c:v>
                </c:pt>
                <c:pt idx="10">
                  <c:v>100.3738855335059</c:v>
                </c:pt>
                <c:pt idx="11">
                  <c:v>99.798677020419902</c:v>
                </c:pt>
                <c:pt idx="12">
                  <c:v>99.798677020419902</c:v>
                </c:pt>
                <c:pt idx="13">
                  <c:v>99.654874892148413</c:v>
                </c:pt>
                <c:pt idx="14">
                  <c:v>99.654874892148413</c:v>
                </c:pt>
                <c:pt idx="15">
                  <c:v>100.08628127696291</c:v>
                </c:pt>
                <c:pt idx="16">
                  <c:v>99.798677020419902</c:v>
                </c:pt>
                <c:pt idx="17">
                  <c:v>99.942479148691405</c:v>
                </c:pt>
                <c:pt idx="18">
                  <c:v>99.511072763876911</c:v>
                </c:pt>
                <c:pt idx="19">
                  <c:v>99.511072763876911</c:v>
                </c:pt>
                <c:pt idx="20">
                  <c:v>99.223468507333919</c:v>
                </c:pt>
                <c:pt idx="21">
                  <c:v>99.367270635605408</c:v>
                </c:pt>
                <c:pt idx="22">
                  <c:v>99.223468507333919</c:v>
                </c:pt>
                <c:pt idx="23">
                  <c:v>99.223468507333919</c:v>
                </c:pt>
                <c:pt idx="24">
                  <c:v>99.367270635605408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3"/>
          <c:tx>
            <c:strRef>
              <c:f>'pH 7.00'!$L$10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'pH 7.00'!$L$11:$L$35</c:f>
              <c:numCache>
                <c:formatCode>0.0</c:formatCode>
                <c:ptCount val="25"/>
                <c:pt idx="0">
                  <c:v>98.940018004625827</c:v>
                </c:pt>
                <c:pt idx="1">
                  <c:v>98.940018004625827</c:v>
                </c:pt>
                <c:pt idx="2">
                  <c:v>98.940018004625827</c:v>
                </c:pt>
                <c:pt idx="3">
                  <c:v>98.940018004625827</c:v>
                </c:pt>
                <c:pt idx="4">
                  <c:v>98.940018004625827</c:v>
                </c:pt>
                <c:pt idx="5">
                  <c:v>98.940018004625827</c:v>
                </c:pt>
                <c:pt idx="6">
                  <c:v>98.940018004625827</c:v>
                </c:pt>
                <c:pt idx="7">
                  <c:v>98.940018004625827</c:v>
                </c:pt>
                <c:pt idx="8">
                  <c:v>98.940018004625827</c:v>
                </c:pt>
                <c:pt idx="9">
                  <c:v>98.940018004625827</c:v>
                </c:pt>
                <c:pt idx="10">
                  <c:v>98.940018004625827</c:v>
                </c:pt>
                <c:pt idx="11">
                  <c:v>98.940018004625827</c:v>
                </c:pt>
                <c:pt idx="12">
                  <c:v>98.940018004625827</c:v>
                </c:pt>
                <c:pt idx="13">
                  <c:v>98.940018004625827</c:v>
                </c:pt>
                <c:pt idx="14">
                  <c:v>98.940018004625827</c:v>
                </c:pt>
                <c:pt idx="15">
                  <c:v>98.940018004625827</c:v>
                </c:pt>
                <c:pt idx="16">
                  <c:v>98.940018004625827</c:v>
                </c:pt>
                <c:pt idx="17">
                  <c:v>98.940018004625827</c:v>
                </c:pt>
                <c:pt idx="18">
                  <c:v>98.940018004625827</c:v>
                </c:pt>
                <c:pt idx="19">
                  <c:v>98.940018004625827</c:v>
                </c:pt>
                <c:pt idx="20">
                  <c:v>98.940018004625827</c:v>
                </c:pt>
                <c:pt idx="21">
                  <c:v>98.940018004625827</c:v>
                </c:pt>
                <c:pt idx="22">
                  <c:v>98.940018004625827</c:v>
                </c:pt>
                <c:pt idx="23">
                  <c:v>98.940018004625827</c:v>
                </c:pt>
                <c:pt idx="24">
                  <c:v>98.940018004625827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4"/>
          <c:tx>
            <c:strRef>
              <c:f>'pH 7.00'!$M$10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'pH 7.00'!$M$11:$M$35</c:f>
              <c:numCache>
                <c:formatCode>0.0</c:formatCode>
                <c:ptCount val="25"/>
                <c:pt idx="0">
                  <c:v>101.05998199537417</c:v>
                </c:pt>
                <c:pt idx="1">
                  <c:v>101.05998199537417</c:v>
                </c:pt>
                <c:pt idx="2">
                  <c:v>101.05998199537417</c:v>
                </c:pt>
                <c:pt idx="3">
                  <c:v>101.05998199537417</c:v>
                </c:pt>
                <c:pt idx="4">
                  <c:v>101.05998199537417</c:v>
                </c:pt>
                <c:pt idx="5">
                  <c:v>101.05998199537417</c:v>
                </c:pt>
                <c:pt idx="6">
                  <c:v>101.05998199537417</c:v>
                </c:pt>
                <c:pt idx="7">
                  <c:v>101.05998199537417</c:v>
                </c:pt>
                <c:pt idx="8">
                  <c:v>101.05998199537417</c:v>
                </c:pt>
                <c:pt idx="9">
                  <c:v>101.05998199537417</c:v>
                </c:pt>
                <c:pt idx="10">
                  <c:v>101.05998199537417</c:v>
                </c:pt>
                <c:pt idx="11">
                  <c:v>101.05998199537417</c:v>
                </c:pt>
                <c:pt idx="12">
                  <c:v>101.05998199537417</c:v>
                </c:pt>
                <c:pt idx="13">
                  <c:v>101.05998199537417</c:v>
                </c:pt>
                <c:pt idx="14">
                  <c:v>101.05998199537417</c:v>
                </c:pt>
                <c:pt idx="15">
                  <c:v>101.05998199537417</c:v>
                </c:pt>
                <c:pt idx="16">
                  <c:v>101.05998199537417</c:v>
                </c:pt>
                <c:pt idx="17">
                  <c:v>101.05998199537417</c:v>
                </c:pt>
                <c:pt idx="18">
                  <c:v>101.05998199537417</c:v>
                </c:pt>
                <c:pt idx="19">
                  <c:v>101.05998199537417</c:v>
                </c:pt>
                <c:pt idx="20">
                  <c:v>101.05998199537417</c:v>
                </c:pt>
                <c:pt idx="21">
                  <c:v>101.05998199537417</c:v>
                </c:pt>
                <c:pt idx="22">
                  <c:v>101.05998199537417</c:v>
                </c:pt>
                <c:pt idx="23">
                  <c:v>101.05998199537417</c:v>
                </c:pt>
                <c:pt idx="24">
                  <c:v>101.05998199537417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5"/>
          <c:tx>
            <c:strRef>
              <c:f>'pH 7.00'!$N$10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'pH 7.00'!$N$11:$N$35</c:f>
              <c:numCache>
                <c:formatCode>0.0</c:formatCode>
                <c:ptCount val="25"/>
                <c:pt idx="0">
                  <c:v>98.410027006938748</c:v>
                </c:pt>
                <c:pt idx="1">
                  <c:v>98.410027006938748</c:v>
                </c:pt>
                <c:pt idx="2">
                  <c:v>98.410027006938748</c:v>
                </c:pt>
                <c:pt idx="3">
                  <c:v>98.410027006938748</c:v>
                </c:pt>
                <c:pt idx="4">
                  <c:v>98.410027006938748</c:v>
                </c:pt>
                <c:pt idx="5">
                  <c:v>98.410027006938748</c:v>
                </c:pt>
                <c:pt idx="6">
                  <c:v>98.410027006938748</c:v>
                </c:pt>
                <c:pt idx="7">
                  <c:v>98.410027006938748</c:v>
                </c:pt>
                <c:pt idx="8">
                  <c:v>98.410027006938748</c:v>
                </c:pt>
                <c:pt idx="9">
                  <c:v>98.410027006938748</c:v>
                </c:pt>
                <c:pt idx="10">
                  <c:v>98.410027006938748</c:v>
                </c:pt>
                <c:pt idx="11">
                  <c:v>98.410027006938748</c:v>
                </c:pt>
                <c:pt idx="12">
                  <c:v>98.410027006938748</c:v>
                </c:pt>
                <c:pt idx="13">
                  <c:v>98.410027006938748</c:v>
                </c:pt>
                <c:pt idx="14">
                  <c:v>98.410027006938748</c:v>
                </c:pt>
                <c:pt idx="15">
                  <c:v>98.410027006938748</c:v>
                </c:pt>
                <c:pt idx="16">
                  <c:v>98.410027006938748</c:v>
                </c:pt>
                <c:pt idx="17">
                  <c:v>98.410027006938748</c:v>
                </c:pt>
                <c:pt idx="18">
                  <c:v>98.410027006938748</c:v>
                </c:pt>
                <c:pt idx="19">
                  <c:v>98.410027006938748</c:v>
                </c:pt>
                <c:pt idx="20">
                  <c:v>98.410027006938748</c:v>
                </c:pt>
                <c:pt idx="21">
                  <c:v>98.410027006938748</c:v>
                </c:pt>
                <c:pt idx="22">
                  <c:v>98.410027006938748</c:v>
                </c:pt>
                <c:pt idx="23">
                  <c:v>98.410027006938748</c:v>
                </c:pt>
                <c:pt idx="24">
                  <c:v>98.410027006938748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6"/>
          <c:tx>
            <c:strRef>
              <c:f>'pH 7.00'!$O$10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'pH 7.00'!$O$11:$O$35</c:f>
              <c:numCache>
                <c:formatCode>0.0</c:formatCode>
                <c:ptCount val="25"/>
                <c:pt idx="0">
                  <c:v>101.58997299306125</c:v>
                </c:pt>
                <c:pt idx="1">
                  <c:v>101.58997299306125</c:v>
                </c:pt>
                <c:pt idx="2">
                  <c:v>101.58997299306125</c:v>
                </c:pt>
                <c:pt idx="3">
                  <c:v>101.58997299306125</c:v>
                </c:pt>
                <c:pt idx="4">
                  <c:v>101.58997299306125</c:v>
                </c:pt>
                <c:pt idx="5">
                  <c:v>101.58997299306125</c:v>
                </c:pt>
                <c:pt idx="6">
                  <c:v>101.58997299306125</c:v>
                </c:pt>
                <c:pt idx="7">
                  <c:v>101.58997299306125</c:v>
                </c:pt>
                <c:pt idx="8">
                  <c:v>101.58997299306125</c:v>
                </c:pt>
                <c:pt idx="9">
                  <c:v>101.58997299306125</c:v>
                </c:pt>
                <c:pt idx="10">
                  <c:v>101.58997299306125</c:v>
                </c:pt>
                <c:pt idx="11">
                  <c:v>101.58997299306125</c:v>
                </c:pt>
                <c:pt idx="12">
                  <c:v>101.58997299306125</c:v>
                </c:pt>
                <c:pt idx="13">
                  <c:v>101.58997299306125</c:v>
                </c:pt>
                <c:pt idx="14">
                  <c:v>101.58997299306125</c:v>
                </c:pt>
                <c:pt idx="15">
                  <c:v>101.58997299306125</c:v>
                </c:pt>
                <c:pt idx="16">
                  <c:v>101.58997299306125</c:v>
                </c:pt>
                <c:pt idx="17">
                  <c:v>101.58997299306125</c:v>
                </c:pt>
                <c:pt idx="18">
                  <c:v>101.58997299306125</c:v>
                </c:pt>
                <c:pt idx="19">
                  <c:v>101.58997299306125</c:v>
                </c:pt>
                <c:pt idx="20">
                  <c:v>101.58997299306125</c:v>
                </c:pt>
                <c:pt idx="21">
                  <c:v>101.58997299306125</c:v>
                </c:pt>
                <c:pt idx="22">
                  <c:v>101.58997299306125</c:v>
                </c:pt>
                <c:pt idx="23">
                  <c:v>101.58997299306125</c:v>
                </c:pt>
                <c:pt idx="24">
                  <c:v>101.58997299306125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AFF-4876-83DE-851A2A099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8034896"/>
        <c:axId val="1628036528"/>
      </c:lineChart>
      <c:catAx>
        <c:axId val="1628034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036528"/>
        <c:crossesAt val="95"/>
        <c:auto val="1"/>
        <c:lblAlgn val="ctr"/>
        <c:lblOffset val="100"/>
        <c:noMultiLvlLbl val="0"/>
      </c:catAx>
      <c:valAx>
        <c:axId val="1628036528"/>
        <c:scaling>
          <c:orientation val="minMax"/>
          <c:max val="102"/>
          <c:min val="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Percent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034896"/>
        <c:crosses val="autoZero"/>
        <c:crossBetween val="between"/>
        <c:majorUnit val="1"/>
        <c:minorUnit val="0.1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6</xdr:col>
      <xdr:colOff>971550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178497</xdr:colOff>
      <xdr:row>0</xdr:row>
      <xdr:rowOff>0</xdr:rowOff>
    </xdr:from>
    <xdr:to>
      <xdr:col>0</xdr:col>
      <xdr:colOff>1558055</xdr:colOff>
      <xdr:row>1</xdr:row>
      <xdr:rowOff>209941</xdr:rowOff>
    </xdr:to>
    <xdr:pic>
      <xdr:nvPicPr>
        <xdr:cNvPr id="4" name="Picture 3" descr="espak_logo_green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497" y="0"/>
          <a:ext cx="1379558" cy="47981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tabSelected="1" topLeftCell="A10" zoomScale="70" zoomScaleNormal="70" workbookViewId="0">
      <selection activeCell="I11" sqref="I11"/>
    </sheetView>
  </sheetViews>
  <sheetFormatPr defaultColWidth="10.28515625" defaultRowHeight="15" x14ac:dyDescent="0.25"/>
  <cols>
    <col min="1" max="1" width="24.85546875" style="29" customWidth="1"/>
    <col min="2" max="2" width="14.140625" style="29" customWidth="1"/>
    <col min="3" max="3" width="20.42578125" style="29" customWidth="1"/>
    <col min="4" max="4" width="17" style="29" customWidth="1"/>
    <col min="5" max="5" width="25.140625" style="29" customWidth="1"/>
    <col min="6" max="6" width="28.140625" style="29" customWidth="1"/>
    <col min="7" max="7" width="16.140625" style="29" customWidth="1"/>
    <col min="8" max="8" width="16.140625" style="1" customWidth="1"/>
    <col min="9" max="16384" width="10.28515625" style="1"/>
  </cols>
  <sheetData>
    <row r="1" spans="1:15" ht="21" customHeight="1" x14ac:dyDescent="0.3">
      <c r="A1" s="31"/>
      <c r="B1" s="22"/>
      <c r="C1" s="54" t="s">
        <v>4</v>
      </c>
      <c r="D1" s="54"/>
      <c r="E1" s="54"/>
      <c r="F1" s="32"/>
      <c r="G1" s="33"/>
    </row>
    <row r="2" spans="1:15" ht="17.25" x14ac:dyDescent="0.3">
      <c r="A2" s="34"/>
      <c r="B2" s="26"/>
      <c r="C2" s="27"/>
      <c r="D2" s="27"/>
      <c r="E2" s="27"/>
      <c r="F2" s="28"/>
    </row>
    <row r="3" spans="1:15" ht="19.5" customHeight="1" x14ac:dyDescent="0.3">
      <c r="A3" s="41" t="s">
        <v>5</v>
      </c>
      <c r="B3" s="25" t="s">
        <v>21</v>
      </c>
      <c r="C3" s="42"/>
      <c r="D3" s="24"/>
      <c r="E3" s="43" t="s">
        <v>7</v>
      </c>
      <c r="F3" s="25" t="s">
        <v>22</v>
      </c>
      <c r="G3" s="24"/>
    </row>
    <row r="4" spans="1:15" ht="45.75" customHeight="1" x14ac:dyDescent="0.3">
      <c r="A4" s="44" t="s">
        <v>6</v>
      </c>
      <c r="B4" s="25" t="s">
        <v>23</v>
      </c>
      <c r="C4" s="16"/>
      <c r="D4" s="24"/>
      <c r="E4" s="45" t="s">
        <v>8</v>
      </c>
      <c r="F4" s="23" t="s">
        <v>39</v>
      </c>
      <c r="G4" s="46"/>
    </row>
    <row r="5" spans="1:15" ht="16.5" x14ac:dyDescent="0.25">
      <c r="A5" s="47" t="s">
        <v>10</v>
      </c>
      <c r="B5" s="48" t="s">
        <v>27</v>
      </c>
      <c r="C5" s="19"/>
      <c r="D5" s="24"/>
      <c r="E5" s="49" t="s">
        <v>11</v>
      </c>
      <c r="F5" s="50" t="s">
        <v>26</v>
      </c>
      <c r="G5" s="24"/>
    </row>
    <row r="6" spans="1:15" ht="16.5" x14ac:dyDescent="0.3">
      <c r="A6" s="44" t="s">
        <v>9</v>
      </c>
      <c r="B6" s="20">
        <v>7</v>
      </c>
      <c r="C6" s="44" t="s">
        <v>41</v>
      </c>
      <c r="D6" s="20">
        <f>AVERAGE(C11:C35)</f>
        <v>6.9539999999999997</v>
      </c>
      <c r="E6" s="45" t="s">
        <v>42</v>
      </c>
      <c r="F6" s="8">
        <f>STDEV(D11:D35)</f>
        <v>0.52999099768708335</v>
      </c>
      <c r="G6" s="24"/>
    </row>
    <row r="7" spans="1:15" ht="16.5" x14ac:dyDescent="0.3">
      <c r="A7" s="44" t="s">
        <v>35</v>
      </c>
      <c r="B7" s="11">
        <f>100-2*$F$6</f>
        <v>98.940018004625827</v>
      </c>
      <c r="C7" s="17"/>
      <c r="D7" s="24"/>
      <c r="E7" s="45" t="s">
        <v>33</v>
      </c>
      <c r="F7" s="11">
        <f>100+2*$F$6</f>
        <v>101.05998199537417</v>
      </c>
      <c r="G7" s="24"/>
    </row>
    <row r="8" spans="1:15" ht="16.5" x14ac:dyDescent="0.3">
      <c r="A8" s="44" t="s">
        <v>36</v>
      </c>
      <c r="B8" s="11">
        <f>100-3*$F$6</f>
        <v>98.410027006938748</v>
      </c>
      <c r="C8" s="17"/>
      <c r="D8" s="24"/>
      <c r="E8" s="45" t="s">
        <v>34</v>
      </c>
      <c r="F8" s="11">
        <f>100+3*$F$6</f>
        <v>101.58997299306125</v>
      </c>
      <c r="G8" s="24"/>
    </row>
    <row r="9" spans="1:15" ht="339.75" customHeight="1" x14ac:dyDescent="0.3">
      <c r="A9" s="28"/>
      <c r="C9" s="30"/>
      <c r="D9" s="28"/>
      <c r="E9" s="30"/>
    </row>
    <row r="10" spans="1:15" ht="55.5" customHeight="1" x14ac:dyDescent="0.25">
      <c r="A10" s="2" t="s">
        <v>24</v>
      </c>
      <c r="B10" s="2" t="s">
        <v>3</v>
      </c>
      <c r="C10" s="2" t="s">
        <v>45</v>
      </c>
      <c r="D10" s="6" t="s">
        <v>43</v>
      </c>
      <c r="E10" s="3" t="s">
        <v>46</v>
      </c>
      <c r="F10" s="3" t="s">
        <v>12</v>
      </c>
      <c r="G10" s="3" t="s">
        <v>20</v>
      </c>
      <c r="I10" s="9" t="s">
        <v>19</v>
      </c>
      <c r="J10" s="12" t="s">
        <v>13</v>
      </c>
      <c r="K10" s="12" t="s">
        <v>14</v>
      </c>
      <c r="L10" s="12" t="s">
        <v>15</v>
      </c>
      <c r="M10" s="12" t="s">
        <v>16</v>
      </c>
      <c r="N10" s="12" t="s">
        <v>17</v>
      </c>
      <c r="O10" s="12" t="s">
        <v>18</v>
      </c>
    </row>
    <row r="11" spans="1:15" ht="20.100000000000001" customHeight="1" x14ac:dyDescent="0.3">
      <c r="A11" s="18">
        <v>1</v>
      </c>
      <c r="B11" s="14">
        <v>44655</v>
      </c>
      <c r="C11" s="13">
        <v>6.98</v>
      </c>
      <c r="D11" s="7">
        <f t="shared" ref="D11:D35" si="0">100*C11/$D$6</f>
        <v>100.3738855335059</v>
      </c>
      <c r="E11" s="4">
        <v>0.03</v>
      </c>
      <c r="F11" s="5"/>
      <c r="G11" s="15"/>
      <c r="I11" s="1">
        <f>A11</f>
        <v>1</v>
      </c>
      <c r="J11" s="1">
        <v>100</v>
      </c>
      <c r="K11" s="10">
        <f>D11</f>
        <v>100.3738855335059</v>
      </c>
      <c r="L11" s="10">
        <f>$B$7</f>
        <v>98.940018004625827</v>
      </c>
      <c r="M11" s="10">
        <f t="shared" ref="M11:M35" si="1">$F$7</f>
        <v>101.05998199537417</v>
      </c>
      <c r="N11" s="10">
        <f>$B$8</f>
        <v>98.410027006938748</v>
      </c>
      <c r="O11" s="10">
        <f t="shared" ref="O11:O35" si="2">$F$8</f>
        <v>101.58997299306125</v>
      </c>
    </row>
    <row r="12" spans="1:15" ht="20.100000000000001" customHeight="1" x14ac:dyDescent="0.3">
      <c r="A12" s="18">
        <v>2</v>
      </c>
      <c r="B12" s="14">
        <v>44655</v>
      </c>
      <c r="C12" s="13">
        <v>6.98</v>
      </c>
      <c r="D12" s="7">
        <f t="shared" si="0"/>
        <v>100.3738855335059</v>
      </c>
      <c r="E12" s="4">
        <v>0.03</v>
      </c>
      <c r="F12" s="5"/>
      <c r="G12" s="15"/>
      <c r="I12" s="1">
        <f t="shared" ref="I12:I23" si="3">A12</f>
        <v>2</v>
      </c>
      <c r="J12" s="1">
        <v>100</v>
      </c>
      <c r="K12" s="10">
        <f t="shared" ref="K12:K14" si="4">D12</f>
        <v>100.3738855335059</v>
      </c>
      <c r="L12" s="10">
        <f t="shared" ref="L12:L35" si="5">$B$7</f>
        <v>98.940018004625827</v>
      </c>
      <c r="M12" s="10">
        <f t="shared" si="1"/>
        <v>101.05998199537417</v>
      </c>
      <c r="N12" s="10">
        <f t="shared" ref="N12:N35" si="6">$B$8</f>
        <v>98.410027006938748</v>
      </c>
      <c r="O12" s="10">
        <f t="shared" si="2"/>
        <v>101.58997299306125</v>
      </c>
    </row>
    <row r="13" spans="1:15" ht="20.100000000000001" customHeight="1" x14ac:dyDescent="0.3">
      <c r="A13" s="18">
        <v>3</v>
      </c>
      <c r="B13" s="14">
        <v>44656</v>
      </c>
      <c r="C13" s="13">
        <v>6.99</v>
      </c>
      <c r="D13" s="7">
        <f t="shared" si="0"/>
        <v>100.5176876617774</v>
      </c>
      <c r="E13" s="4">
        <v>0.04</v>
      </c>
      <c r="F13" s="5"/>
      <c r="G13" s="15"/>
      <c r="I13" s="1">
        <f t="shared" si="3"/>
        <v>3</v>
      </c>
      <c r="J13" s="1">
        <v>100</v>
      </c>
      <c r="K13" s="10">
        <f t="shared" si="4"/>
        <v>100.5176876617774</v>
      </c>
      <c r="L13" s="10">
        <f t="shared" si="5"/>
        <v>98.940018004625827</v>
      </c>
      <c r="M13" s="10">
        <f t="shared" si="1"/>
        <v>101.05998199537417</v>
      </c>
      <c r="N13" s="10">
        <f t="shared" si="6"/>
        <v>98.410027006938748</v>
      </c>
      <c r="O13" s="10">
        <f t="shared" si="2"/>
        <v>101.58997299306125</v>
      </c>
    </row>
    <row r="14" spans="1:15" ht="20.100000000000001" customHeight="1" x14ac:dyDescent="0.3">
      <c r="A14" s="18">
        <v>4</v>
      </c>
      <c r="B14" s="14">
        <v>44656</v>
      </c>
      <c r="C14" s="13">
        <v>6.99</v>
      </c>
      <c r="D14" s="7">
        <f t="shared" si="0"/>
        <v>100.5176876617774</v>
      </c>
      <c r="E14" s="4">
        <v>0.04</v>
      </c>
      <c r="F14" s="5"/>
      <c r="G14" s="15"/>
      <c r="I14" s="1">
        <f t="shared" si="3"/>
        <v>4</v>
      </c>
      <c r="J14" s="1">
        <v>100</v>
      </c>
      <c r="K14" s="10">
        <f t="shared" si="4"/>
        <v>100.5176876617774</v>
      </c>
      <c r="L14" s="10">
        <f t="shared" si="5"/>
        <v>98.940018004625827</v>
      </c>
      <c r="M14" s="10">
        <f t="shared" si="1"/>
        <v>101.05998199537417</v>
      </c>
      <c r="N14" s="10">
        <f t="shared" si="6"/>
        <v>98.410027006938748</v>
      </c>
      <c r="O14" s="10">
        <f t="shared" si="2"/>
        <v>101.58997299306125</v>
      </c>
    </row>
    <row r="15" spans="1:15" ht="20.100000000000001" customHeight="1" x14ac:dyDescent="0.3">
      <c r="A15" s="18">
        <v>5</v>
      </c>
      <c r="B15" s="14">
        <v>44657</v>
      </c>
      <c r="C15" s="13">
        <v>6.98</v>
      </c>
      <c r="D15" s="7">
        <f t="shared" si="0"/>
        <v>100.3738855335059</v>
      </c>
      <c r="E15" s="4">
        <v>0.03</v>
      </c>
      <c r="F15" s="5"/>
      <c r="G15" s="15"/>
      <c r="I15" s="1">
        <f t="shared" si="3"/>
        <v>5</v>
      </c>
      <c r="J15" s="1">
        <v>100</v>
      </c>
      <c r="K15" s="10">
        <f t="shared" ref="K15:K35" si="7">D15</f>
        <v>100.3738855335059</v>
      </c>
      <c r="L15" s="10">
        <f t="shared" si="5"/>
        <v>98.940018004625827</v>
      </c>
      <c r="M15" s="10">
        <f t="shared" si="1"/>
        <v>101.05998199537417</v>
      </c>
      <c r="N15" s="10">
        <f t="shared" si="6"/>
        <v>98.410027006938748</v>
      </c>
      <c r="O15" s="10">
        <f t="shared" si="2"/>
        <v>101.58997299306125</v>
      </c>
    </row>
    <row r="16" spans="1:15" ht="20.100000000000001" customHeight="1" x14ac:dyDescent="0.3">
      <c r="A16" s="18">
        <v>6</v>
      </c>
      <c r="B16" s="14">
        <v>44660</v>
      </c>
      <c r="C16" s="13">
        <v>7</v>
      </c>
      <c r="D16" s="7">
        <f t="shared" si="0"/>
        <v>100.66148979004889</v>
      </c>
      <c r="E16" s="4">
        <v>0.05</v>
      </c>
      <c r="F16" s="5"/>
      <c r="G16" s="15"/>
      <c r="I16" s="1">
        <f t="shared" si="3"/>
        <v>6</v>
      </c>
      <c r="J16" s="1">
        <v>100</v>
      </c>
      <c r="K16" s="10">
        <f t="shared" si="7"/>
        <v>100.66148979004889</v>
      </c>
      <c r="L16" s="10">
        <f t="shared" si="5"/>
        <v>98.940018004625827</v>
      </c>
      <c r="M16" s="10">
        <f t="shared" si="1"/>
        <v>101.05998199537417</v>
      </c>
      <c r="N16" s="10">
        <f t="shared" si="6"/>
        <v>98.410027006938748</v>
      </c>
      <c r="O16" s="10">
        <f t="shared" si="2"/>
        <v>101.58997299306125</v>
      </c>
    </row>
    <row r="17" spans="1:15" ht="20.100000000000001" customHeight="1" x14ac:dyDescent="0.3">
      <c r="A17" s="18">
        <v>7</v>
      </c>
      <c r="B17" s="14">
        <v>44660</v>
      </c>
      <c r="C17" s="13">
        <v>7</v>
      </c>
      <c r="D17" s="7">
        <f t="shared" si="0"/>
        <v>100.66148979004889</v>
      </c>
      <c r="E17" s="4">
        <v>0.05</v>
      </c>
      <c r="F17" s="5"/>
      <c r="G17" s="15"/>
      <c r="I17" s="1">
        <f t="shared" si="3"/>
        <v>7</v>
      </c>
      <c r="J17" s="1">
        <v>100</v>
      </c>
      <c r="K17" s="10">
        <f t="shared" si="7"/>
        <v>100.66148979004889</v>
      </c>
      <c r="L17" s="10">
        <f t="shared" si="5"/>
        <v>98.940018004625827</v>
      </c>
      <c r="M17" s="10">
        <f t="shared" si="1"/>
        <v>101.05998199537417</v>
      </c>
      <c r="N17" s="10">
        <f t="shared" si="6"/>
        <v>98.410027006938748</v>
      </c>
      <c r="O17" s="10">
        <f t="shared" si="2"/>
        <v>101.58997299306125</v>
      </c>
    </row>
    <row r="18" spans="1:15" ht="20.100000000000001" customHeight="1" x14ac:dyDescent="0.3">
      <c r="A18" s="18">
        <v>8</v>
      </c>
      <c r="B18" s="14">
        <v>44660</v>
      </c>
      <c r="C18" s="13">
        <v>7</v>
      </c>
      <c r="D18" s="7">
        <f t="shared" si="0"/>
        <v>100.66148979004889</v>
      </c>
      <c r="E18" s="4">
        <v>0.05</v>
      </c>
      <c r="F18" s="5"/>
      <c r="G18" s="15"/>
      <c r="I18" s="1">
        <f t="shared" si="3"/>
        <v>8</v>
      </c>
      <c r="J18" s="1">
        <v>100</v>
      </c>
      <c r="K18" s="10">
        <f t="shared" si="7"/>
        <v>100.66148979004889</v>
      </c>
      <c r="L18" s="10">
        <f t="shared" si="5"/>
        <v>98.940018004625827</v>
      </c>
      <c r="M18" s="10">
        <f t="shared" si="1"/>
        <v>101.05998199537417</v>
      </c>
      <c r="N18" s="10">
        <f t="shared" si="6"/>
        <v>98.410027006938748</v>
      </c>
      <c r="O18" s="10">
        <f t="shared" si="2"/>
        <v>101.58997299306125</v>
      </c>
    </row>
    <row r="19" spans="1:15" ht="23.25" customHeight="1" x14ac:dyDescent="0.3">
      <c r="A19" s="18">
        <v>9</v>
      </c>
      <c r="B19" s="14">
        <v>44660</v>
      </c>
      <c r="C19" s="13">
        <v>7</v>
      </c>
      <c r="D19" s="7">
        <f t="shared" si="0"/>
        <v>100.66148979004889</v>
      </c>
      <c r="E19" s="4">
        <v>0.05</v>
      </c>
      <c r="F19" s="5"/>
      <c r="G19" s="15"/>
      <c r="I19" s="1">
        <f t="shared" si="3"/>
        <v>9</v>
      </c>
      <c r="J19" s="1">
        <v>100</v>
      </c>
      <c r="K19" s="10">
        <f t="shared" si="7"/>
        <v>100.66148979004889</v>
      </c>
      <c r="L19" s="10">
        <f t="shared" si="5"/>
        <v>98.940018004625827</v>
      </c>
      <c r="M19" s="10">
        <f t="shared" si="1"/>
        <v>101.05998199537417</v>
      </c>
      <c r="N19" s="10">
        <f t="shared" si="6"/>
        <v>98.410027006938748</v>
      </c>
      <c r="O19" s="10">
        <f t="shared" si="2"/>
        <v>101.58997299306125</v>
      </c>
    </row>
    <row r="20" spans="1:15" ht="23.25" customHeight="1" x14ac:dyDescent="0.3">
      <c r="A20" s="18">
        <v>10</v>
      </c>
      <c r="B20" s="14">
        <v>44660</v>
      </c>
      <c r="C20" s="13">
        <v>7</v>
      </c>
      <c r="D20" s="7">
        <f t="shared" si="0"/>
        <v>100.66148979004889</v>
      </c>
      <c r="E20" s="4">
        <v>0.05</v>
      </c>
      <c r="F20" s="5"/>
      <c r="G20" s="15"/>
      <c r="I20" s="1">
        <f t="shared" si="3"/>
        <v>10</v>
      </c>
      <c r="J20" s="1">
        <v>100</v>
      </c>
      <c r="K20" s="10">
        <f t="shared" si="7"/>
        <v>100.66148979004889</v>
      </c>
      <c r="L20" s="10">
        <f t="shared" si="5"/>
        <v>98.940018004625827</v>
      </c>
      <c r="M20" s="10">
        <f t="shared" si="1"/>
        <v>101.05998199537417</v>
      </c>
      <c r="N20" s="10">
        <f t="shared" si="6"/>
        <v>98.410027006938748</v>
      </c>
      <c r="O20" s="10">
        <f t="shared" si="2"/>
        <v>101.58997299306125</v>
      </c>
    </row>
    <row r="21" spans="1:15" ht="20.100000000000001" customHeight="1" x14ac:dyDescent="0.3">
      <c r="A21" s="18">
        <v>11</v>
      </c>
      <c r="B21" s="14">
        <v>44665</v>
      </c>
      <c r="C21" s="13">
        <v>6.98</v>
      </c>
      <c r="D21" s="7">
        <f t="shared" si="0"/>
        <v>100.3738855335059</v>
      </c>
      <c r="E21" s="4">
        <v>0.03</v>
      </c>
      <c r="F21" s="5"/>
      <c r="G21" s="15"/>
      <c r="I21" s="1">
        <f t="shared" si="3"/>
        <v>11</v>
      </c>
      <c r="J21" s="1">
        <v>100</v>
      </c>
      <c r="K21" s="10">
        <f t="shared" si="7"/>
        <v>100.3738855335059</v>
      </c>
      <c r="L21" s="10">
        <f t="shared" si="5"/>
        <v>98.940018004625827</v>
      </c>
      <c r="M21" s="10">
        <f t="shared" si="1"/>
        <v>101.05998199537417</v>
      </c>
      <c r="N21" s="10">
        <f t="shared" si="6"/>
        <v>98.410027006938748</v>
      </c>
      <c r="O21" s="10">
        <f t="shared" si="2"/>
        <v>101.58997299306125</v>
      </c>
    </row>
    <row r="22" spans="1:15" ht="20.100000000000001" customHeight="1" x14ac:dyDescent="0.3">
      <c r="A22" s="18">
        <v>12</v>
      </c>
      <c r="B22" s="14">
        <v>44667</v>
      </c>
      <c r="C22" s="13">
        <v>6.94</v>
      </c>
      <c r="D22" s="7">
        <f t="shared" si="0"/>
        <v>99.798677020419902</v>
      </c>
      <c r="E22" s="4">
        <v>-0.01</v>
      </c>
      <c r="F22" s="5"/>
      <c r="G22" s="15"/>
      <c r="I22" s="1">
        <f t="shared" si="3"/>
        <v>12</v>
      </c>
      <c r="J22" s="1">
        <v>100</v>
      </c>
      <c r="K22" s="10">
        <f t="shared" si="7"/>
        <v>99.798677020419902</v>
      </c>
      <c r="L22" s="10">
        <f t="shared" si="5"/>
        <v>98.940018004625827</v>
      </c>
      <c r="M22" s="10">
        <f t="shared" si="1"/>
        <v>101.05998199537417</v>
      </c>
      <c r="N22" s="10">
        <f t="shared" si="6"/>
        <v>98.410027006938748</v>
      </c>
      <c r="O22" s="10">
        <f t="shared" si="2"/>
        <v>101.58997299306125</v>
      </c>
    </row>
    <row r="23" spans="1:15" ht="20.100000000000001" customHeight="1" x14ac:dyDescent="0.3">
      <c r="A23" s="18">
        <v>13</v>
      </c>
      <c r="B23" s="14">
        <v>44667</v>
      </c>
      <c r="C23" s="13">
        <v>6.94</v>
      </c>
      <c r="D23" s="7">
        <f t="shared" si="0"/>
        <v>99.798677020419902</v>
      </c>
      <c r="E23" s="4">
        <v>-0.01</v>
      </c>
      <c r="F23" s="5"/>
      <c r="G23" s="15"/>
      <c r="I23" s="1">
        <f t="shared" si="3"/>
        <v>13</v>
      </c>
      <c r="J23" s="1">
        <v>100</v>
      </c>
      <c r="K23" s="10">
        <f t="shared" si="7"/>
        <v>99.798677020419902</v>
      </c>
      <c r="L23" s="10">
        <f t="shared" si="5"/>
        <v>98.940018004625827</v>
      </c>
      <c r="M23" s="10">
        <f t="shared" si="1"/>
        <v>101.05998199537417</v>
      </c>
      <c r="N23" s="10">
        <f t="shared" si="6"/>
        <v>98.410027006938748</v>
      </c>
      <c r="O23" s="10">
        <f t="shared" si="2"/>
        <v>101.58997299306125</v>
      </c>
    </row>
    <row r="24" spans="1:15" ht="20.100000000000001" customHeight="1" x14ac:dyDescent="0.3">
      <c r="A24" s="18">
        <v>14</v>
      </c>
      <c r="B24" s="14">
        <v>44669</v>
      </c>
      <c r="C24" s="13">
        <v>6.93</v>
      </c>
      <c r="D24" s="7">
        <f t="shared" si="0"/>
        <v>99.654874892148413</v>
      </c>
      <c r="E24" s="4">
        <v>-0.02</v>
      </c>
      <c r="F24" s="5"/>
      <c r="G24" s="15"/>
      <c r="I24" s="1">
        <f t="shared" ref="I24:I35" si="8">A24</f>
        <v>14</v>
      </c>
      <c r="J24" s="1">
        <v>100</v>
      </c>
      <c r="K24" s="10">
        <f t="shared" si="7"/>
        <v>99.654874892148413</v>
      </c>
      <c r="L24" s="10">
        <f t="shared" si="5"/>
        <v>98.940018004625827</v>
      </c>
      <c r="M24" s="10">
        <f t="shared" si="1"/>
        <v>101.05998199537417</v>
      </c>
      <c r="N24" s="10">
        <f t="shared" si="6"/>
        <v>98.410027006938748</v>
      </c>
      <c r="O24" s="10">
        <f t="shared" si="2"/>
        <v>101.58997299306125</v>
      </c>
    </row>
    <row r="25" spans="1:15" ht="20.100000000000001" customHeight="1" x14ac:dyDescent="0.3">
      <c r="A25" s="18">
        <v>15</v>
      </c>
      <c r="B25" s="14">
        <v>44669</v>
      </c>
      <c r="C25" s="13">
        <v>6.93</v>
      </c>
      <c r="D25" s="7">
        <f t="shared" si="0"/>
        <v>99.654874892148413</v>
      </c>
      <c r="E25" s="4">
        <v>-0.02</v>
      </c>
      <c r="F25" s="5"/>
      <c r="G25" s="15"/>
      <c r="I25" s="1">
        <f t="shared" si="8"/>
        <v>15</v>
      </c>
      <c r="J25" s="1">
        <v>100</v>
      </c>
      <c r="K25" s="10">
        <f t="shared" si="7"/>
        <v>99.654874892148413</v>
      </c>
      <c r="L25" s="10">
        <f t="shared" si="5"/>
        <v>98.940018004625827</v>
      </c>
      <c r="M25" s="10">
        <f t="shared" si="1"/>
        <v>101.05998199537417</v>
      </c>
      <c r="N25" s="10">
        <f t="shared" si="6"/>
        <v>98.410027006938748</v>
      </c>
      <c r="O25" s="10">
        <f t="shared" si="2"/>
        <v>101.58997299306125</v>
      </c>
    </row>
    <row r="26" spans="1:15" ht="20.100000000000001" customHeight="1" x14ac:dyDescent="0.3">
      <c r="A26" s="18">
        <v>16</v>
      </c>
      <c r="B26" s="14">
        <v>44670</v>
      </c>
      <c r="C26" s="13">
        <v>6.96</v>
      </c>
      <c r="D26" s="7">
        <f t="shared" si="0"/>
        <v>100.08628127696291</v>
      </c>
      <c r="E26" s="4">
        <v>0.01</v>
      </c>
      <c r="F26" s="5"/>
      <c r="G26" s="15"/>
      <c r="I26" s="1">
        <f t="shared" si="8"/>
        <v>16</v>
      </c>
      <c r="J26" s="1">
        <v>100</v>
      </c>
      <c r="K26" s="10">
        <f t="shared" si="7"/>
        <v>100.08628127696291</v>
      </c>
      <c r="L26" s="10">
        <f t="shared" si="5"/>
        <v>98.940018004625827</v>
      </c>
      <c r="M26" s="10">
        <f t="shared" si="1"/>
        <v>101.05998199537417</v>
      </c>
      <c r="N26" s="10">
        <f t="shared" si="6"/>
        <v>98.410027006938748</v>
      </c>
      <c r="O26" s="10">
        <f t="shared" si="2"/>
        <v>101.58997299306125</v>
      </c>
    </row>
    <row r="27" spans="1:15" ht="20.100000000000001" customHeight="1" x14ac:dyDescent="0.3">
      <c r="A27" s="18">
        <v>17</v>
      </c>
      <c r="B27" s="14">
        <v>44673</v>
      </c>
      <c r="C27" s="13">
        <v>6.94</v>
      </c>
      <c r="D27" s="7">
        <f t="shared" si="0"/>
        <v>99.798677020419902</v>
      </c>
      <c r="E27" s="4">
        <v>-0.01</v>
      </c>
      <c r="F27" s="5"/>
      <c r="G27" s="15"/>
      <c r="I27" s="1">
        <f t="shared" si="8"/>
        <v>17</v>
      </c>
      <c r="J27" s="1">
        <v>100</v>
      </c>
      <c r="K27" s="10">
        <f t="shared" si="7"/>
        <v>99.798677020419902</v>
      </c>
      <c r="L27" s="10">
        <f t="shared" si="5"/>
        <v>98.940018004625827</v>
      </c>
      <c r="M27" s="10">
        <f t="shared" si="1"/>
        <v>101.05998199537417</v>
      </c>
      <c r="N27" s="10">
        <f t="shared" si="6"/>
        <v>98.410027006938748</v>
      </c>
      <c r="O27" s="10">
        <f t="shared" si="2"/>
        <v>101.58997299306125</v>
      </c>
    </row>
    <row r="28" spans="1:15" ht="20.100000000000001" customHeight="1" x14ac:dyDescent="0.3">
      <c r="A28" s="18">
        <v>18</v>
      </c>
      <c r="B28" s="14">
        <v>44674</v>
      </c>
      <c r="C28" s="13">
        <v>6.95</v>
      </c>
      <c r="D28" s="7">
        <f t="shared" si="0"/>
        <v>99.942479148691405</v>
      </c>
      <c r="E28" s="4">
        <v>0</v>
      </c>
      <c r="F28" s="5"/>
      <c r="G28" s="15"/>
      <c r="I28" s="1">
        <f t="shared" si="8"/>
        <v>18</v>
      </c>
      <c r="J28" s="1">
        <v>100</v>
      </c>
      <c r="K28" s="10">
        <f t="shared" si="7"/>
        <v>99.942479148691405</v>
      </c>
      <c r="L28" s="10">
        <f t="shared" si="5"/>
        <v>98.940018004625827</v>
      </c>
      <c r="M28" s="10">
        <f t="shared" si="1"/>
        <v>101.05998199537417</v>
      </c>
      <c r="N28" s="10">
        <f t="shared" si="6"/>
        <v>98.410027006938748</v>
      </c>
      <c r="O28" s="10">
        <f t="shared" si="2"/>
        <v>101.58997299306125</v>
      </c>
    </row>
    <row r="29" spans="1:15" ht="20.100000000000001" customHeight="1" x14ac:dyDescent="0.3">
      <c r="A29" s="18">
        <v>19</v>
      </c>
      <c r="B29" s="14">
        <v>44676</v>
      </c>
      <c r="C29" s="13">
        <v>6.92</v>
      </c>
      <c r="D29" s="7">
        <f t="shared" si="0"/>
        <v>99.511072763876911</v>
      </c>
      <c r="E29" s="4">
        <v>-0.03</v>
      </c>
      <c r="F29" s="5"/>
      <c r="G29" s="15"/>
      <c r="I29" s="1">
        <f t="shared" si="8"/>
        <v>19</v>
      </c>
      <c r="J29" s="1">
        <v>100</v>
      </c>
      <c r="K29" s="10">
        <f t="shared" si="7"/>
        <v>99.511072763876911</v>
      </c>
      <c r="L29" s="10">
        <f t="shared" si="5"/>
        <v>98.940018004625827</v>
      </c>
      <c r="M29" s="10">
        <f t="shared" si="1"/>
        <v>101.05998199537417</v>
      </c>
      <c r="N29" s="10">
        <f t="shared" si="6"/>
        <v>98.410027006938748</v>
      </c>
      <c r="O29" s="10">
        <f t="shared" si="2"/>
        <v>101.58997299306125</v>
      </c>
    </row>
    <row r="30" spans="1:15" ht="20.100000000000001" customHeight="1" x14ac:dyDescent="0.3">
      <c r="A30" s="18">
        <v>20</v>
      </c>
      <c r="B30" s="14">
        <v>44676</v>
      </c>
      <c r="C30" s="13">
        <v>6.92</v>
      </c>
      <c r="D30" s="7">
        <f t="shared" si="0"/>
        <v>99.511072763876911</v>
      </c>
      <c r="E30" s="4">
        <v>-0.03</v>
      </c>
      <c r="F30" s="5"/>
      <c r="G30" s="15"/>
      <c r="I30" s="1">
        <f t="shared" si="8"/>
        <v>20</v>
      </c>
      <c r="J30" s="1">
        <v>100</v>
      </c>
      <c r="K30" s="10">
        <f t="shared" si="7"/>
        <v>99.511072763876911</v>
      </c>
      <c r="L30" s="10">
        <f t="shared" si="5"/>
        <v>98.940018004625827</v>
      </c>
      <c r="M30" s="10">
        <f t="shared" si="1"/>
        <v>101.05998199537417</v>
      </c>
      <c r="N30" s="10">
        <f t="shared" si="6"/>
        <v>98.410027006938748</v>
      </c>
      <c r="O30" s="10">
        <f t="shared" si="2"/>
        <v>101.58997299306125</v>
      </c>
    </row>
    <row r="31" spans="1:15" ht="20.100000000000001" customHeight="1" x14ac:dyDescent="0.3">
      <c r="A31" s="18">
        <v>21</v>
      </c>
      <c r="B31" s="14">
        <v>44677</v>
      </c>
      <c r="C31" s="13">
        <v>6.9</v>
      </c>
      <c r="D31" s="7">
        <f t="shared" si="0"/>
        <v>99.223468507333919</v>
      </c>
      <c r="E31" s="4">
        <v>-0.05</v>
      </c>
      <c r="F31" s="5"/>
      <c r="G31" s="15"/>
      <c r="I31" s="1">
        <f t="shared" si="8"/>
        <v>21</v>
      </c>
      <c r="J31" s="1">
        <v>100</v>
      </c>
      <c r="K31" s="10">
        <f t="shared" si="7"/>
        <v>99.223468507333919</v>
      </c>
      <c r="L31" s="10">
        <f t="shared" si="5"/>
        <v>98.940018004625827</v>
      </c>
      <c r="M31" s="10">
        <f t="shared" si="1"/>
        <v>101.05998199537417</v>
      </c>
      <c r="N31" s="10">
        <f t="shared" si="6"/>
        <v>98.410027006938748</v>
      </c>
      <c r="O31" s="10">
        <f t="shared" si="2"/>
        <v>101.58997299306125</v>
      </c>
    </row>
    <row r="32" spans="1:15" ht="20.100000000000001" customHeight="1" x14ac:dyDescent="0.3">
      <c r="A32" s="18">
        <v>22</v>
      </c>
      <c r="B32" s="14">
        <v>44680</v>
      </c>
      <c r="C32" s="13">
        <v>6.91</v>
      </c>
      <c r="D32" s="7">
        <f t="shared" si="0"/>
        <v>99.367270635605408</v>
      </c>
      <c r="E32" s="4">
        <v>-0.04</v>
      </c>
      <c r="F32" s="5"/>
      <c r="G32" s="15"/>
      <c r="I32" s="1">
        <f t="shared" si="8"/>
        <v>22</v>
      </c>
      <c r="J32" s="1">
        <v>100</v>
      </c>
      <c r="K32" s="10">
        <f t="shared" si="7"/>
        <v>99.367270635605408</v>
      </c>
      <c r="L32" s="10">
        <f t="shared" si="5"/>
        <v>98.940018004625827</v>
      </c>
      <c r="M32" s="10">
        <f t="shared" si="1"/>
        <v>101.05998199537417</v>
      </c>
      <c r="N32" s="10">
        <f t="shared" si="6"/>
        <v>98.410027006938748</v>
      </c>
      <c r="O32" s="10">
        <f t="shared" si="2"/>
        <v>101.58997299306125</v>
      </c>
    </row>
    <row r="33" spans="1:19" ht="20.100000000000001" customHeight="1" x14ac:dyDescent="0.3">
      <c r="A33" s="18">
        <v>23</v>
      </c>
      <c r="B33" s="14">
        <v>44680</v>
      </c>
      <c r="C33" s="13">
        <v>6.9</v>
      </c>
      <c r="D33" s="7">
        <f t="shared" si="0"/>
        <v>99.223468507333919</v>
      </c>
      <c r="E33" s="4">
        <v>-0.05</v>
      </c>
      <c r="F33" s="5"/>
      <c r="G33" s="15"/>
      <c r="I33" s="1">
        <f t="shared" si="8"/>
        <v>23</v>
      </c>
      <c r="J33" s="1">
        <v>100</v>
      </c>
      <c r="K33" s="10">
        <f t="shared" si="7"/>
        <v>99.223468507333919</v>
      </c>
      <c r="L33" s="10">
        <f t="shared" si="5"/>
        <v>98.940018004625827</v>
      </c>
      <c r="M33" s="10">
        <f t="shared" si="1"/>
        <v>101.05998199537417</v>
      </c>
      <c r="N33" s="10">
        <f t="shared" si="6"/>
        <v>98.410027006938748</v>
      </c>
      <c r="O33" s="10">
        <f t="shared" si="2"/>
        <v>101.58997299306125</v>
      </c>
    </row>
    <row r="34" spans="1:19" ht="20.100000000000001" customHeight="1" x14ac:dyDescent="0.3">
      <c r="A34" s="18">
        <v>24</v>
      </c>
      <c r="B34" s="14">
        <v>44691</v>
      </c>
      <c r="C34" s="13">
        <v>6.9</v>
      </c>
      <c r="D34" s="7">
        <f t="shared" si="0"/>
        <v>99.223468507333919</v>
      </c>
      <c r="E34" s="4">
        <v>-0.05</v>
      </c>
      <c r="F34" s="5"/>
      <c r="G34" s="15"/>
      <c r="I34" s="1">
        <f t="shared" si="8"/>
        <v>24</v>
      </c>
      <c r="J34" s="1">
        <v>100</v>
      </c>
      <c r="K34" s="10">
        <f t="shared" si="7"/>
        <v>99.223468507333919</v>
      </c>
      <c r="L34" s="10">
        <f t="shared" si="5"/>
        <v>98.940018004625827</v>
      </c>
      <c r="M34" s="10">
        <f t="shared" si="1"/>
        <v>101.05998199537417</v>
      </c>
      <c r="N34" s="10">
        <f t="shared" si="6"/>
        <v>98.410027006938748</v>
      </c>
      <c r="O34" s="10">
        <f t="shared" si="2"/>
        <v>101.58997299306125</v>
      </c>
    </row>
    <row r="35" spans="1:19" ht="20.100000000000001" customHeight="1" x14ac:dyDescent="0.3">
      <c r="A35" s="18">
        <v>25</v>
      </c>
      <c r="B35" s="14">
        <v>44692</v>
      </c>
      <c r="C35" s="13">
        <v>6.91</v>
      </c>
      <c r="D35" s="7">
        <f t="shared" si="0"/>
        <v>99.367270635605408</v>
      </c>
      <c r="E35" s="4">
        <v>-0.04</v>
      </c>
      <c r="F35" s="5"/>
      <c r="G35" s="15"/>
      <c r="I35" s="1">
        <f t="shared" si="8"/>
        <v>25</v>
      </c>
      <c r="J35" s="1">
        <v>100</v>
      </c>
      <c r="K35" s="10">
        <f t="shared" si="7"/>
        <v>99.367270635605408</v>
      </c>
      <c r="L35" s="10">
        <f t="shared" si="5"/>
        <v>98.940018004625827</v>
      </c>
      <c r="M35" s="10">
        <f t="shared" si="1"/>
        <v>101.05998199537417</v>
      </c>
      <c r="N35" s="10">
        <f t="shared" si="6"/>
        <v>98.410027006938748</v>
      </c>
      <c r="O35" s="10">
        <f t="shared" si="2"/>
        <v>101.58997299306125</v>
      </c>
    </row>
    <row r="36" spans="1:19" ht="35.25" customHeight="1" x14ac:dyDescent="0.3">
      <c r="A36" s="18"/>
      <c r="B36" s="21"/>
      <c r="C36" s="36" t="s">
        <v>44</v>
      </c>
      <c r="D36" s="36"/>
      <c r="E36" s="36"/>
      <c r="F36" s="53">
        <v>44900</v>
      </c>
      <c r="G36" s="36"/>
    </row>
    <row r="37" spans="1:19" ht="18.75" customHeight="1" x14ac:dyDescent="0.3">
      <c r="A37" s="28"/>
      <c r="B37" s="28"/>
      <c r="C37" s="27" t="s">
        <v>1</v>
      </c>
      <c r="E37" s="27" t="s">
        <v>2</v>
      </c>
      <c r="F37" s="27" t="s">
        <v>3</v>
      </c>
    </row>
    <row r="38" spans="1:19" ht="24" customHeight="1" x14ac:dyDescent="0.3">
      <c r="A38" s="35" t="s">
        <v>32</v>
      </c>
      <c r="B38" s="28"/>
      <c r="C38" s="36" t="s">
        <v>37</v>
      </c>
      <c r="D38" s="36"/>
      <c r="E38" s="36"/>
      <c r="F38" s="36"/>
      <c r="G38" s="36"/>
      <c r="S38" s="1" t="s">
        <v>40</v>
      </c>
    </row>
    <row r="39" spans="1:19" ht="33" customHeight="1" x14ac:dyDescent="0.3">
      <c r="A39" s="28"/>
      <c r="B39" s="28"/>
      <c r="C39" s="27" t="s">
        <v>1</v>
      </c>
      <c r="D39" s="52"/>
      <c r="E39" s="27" t="s">
        <v>2</v>
      </c>
      <c r="F39" s="27" t="s">
        <v>3</v>
      </c>
      <c r="G39" s="52"/>
    </row>
    <row r="40" spans="1:19" ht="18" customHeight="1" x14ac:dyDescent="0.3">
      <c r="A40" s="51" t="s">
        <v>25</v>
      </c>
      <c r="B40" s="28"/>
      <c r="C40" s="36" t="s">
        <v>38</v>
      </c>
      <c r="D40" s="36"/>
      <c r="E40" s="36"/>
      <c r="F40" s="36"/>
      <c r="G40" s="36"/>
    </row>
    <row r="41" spans="1:19" ht="16.5" x14ac:dyDescent="0.3">
      <c r="A41" s="28"/>
      <c r="B41" s="28"/>
      <c r="C41" s="37" t="s">
        <v>1</v>
      </c>
      <c r="E41" s="37" t="s">
        <v>2</v>
      </c>
      <c r="F41" s="37" t="s">
        <v>3</v>
      </c>
      <c r="G41" s="36"/>
    </row>
    <row r="42" spans="1:19" ht="26.25" customHeight="1" x14ac:dyDescent="0.3">
      <c r="A42" s="28"/>
      <c r="B42" s="28"/>
    </row>
    <row r="43" spans="1:19" ht="24.75" customHeight="1" x14ac:dyDescent="0.3">
      <c r="A43" s="28"/>
      <c r="B43" s="28"/>
      <c r="C43" s="28"/>
      <c r="D43" s="28"/>
      <c r="E43" s="28"/>
      <c r="F43" s="28"/>
    </row>
    <row r="44" spans="1:19" ht="36.75" customHeight="1" x14ac:dyDescent="0.3">
      <c r="A44" s="28"/>
      <c r="B44" s="28"/>
      <c r="C44" s="28"/>
      <c r="D44" s="28"/>
      <c r="E44" s="28"/>
      <c r="F44" s="28"/>
    </row>
    <row r="45" spans="1:19" ht="15.75" thickBot="1" x14ac:dyDescent="0.3"/>
    <row r="46" spans="1:19" ht="33.75" customHeight="1" x14ac:dyDescent="0.25">
      <c r="A46" s="38" t="s">
        <v>28</v>
      </c>
      <c r="B46" s="39" t="s">
        <v>29</v>
      </c>
      <c r="C46" s="38" t="s">
        <v>30</v>
      </c>
      <c r="D46" s="39">
        <v>0</v>
      </c>
      <c r="E46" s="38" t="s">
        <v>31</v>
      </c>
      <c r="F46" s="40">
        <v>43836</v>
      </c>
      <c r="G46" s="39" t="s">
        <v>0</v>
      </c>
    </row>
    <row r="47" spans="1:19" ht="16.5" x14ac:dyDescent="0.3">
      <c r="A47" s="28"/>
      <c r="B47" s="28"/>
      <c r="C47" s="28"/>
      <c r="D47" s="28"/>
      <c r="E47" s="28"/>
      <c r="F47" s="28"/>
    </row>
    <row r="48" spans="1:19" ht="16.5" x14ac:dyDescent="0.3">
      <c r="A48" s="28"/>
      <c r="B48" s="28"/>
      <c r="C48" s="28"/>
      <c r="D48" s="28"/>
      <c r="E48" s="28"/>
      <c r="F48" s="28"/>
    </row>
    <row r="49" spans="1:6" ht="16.5" x14ac:dyDescent="0.3">
      <c r="A49" s="28"/>
      <c r="B49" s="28"/>
      <c r="C49" s="28"/>
      <c r="D49" s="28"/>
      <c r="E49" s="28"/>
      <c r="F49" s="28"/>
    </row>
    <row r="50" spans="1:6" ht="16.5" x14ac:dyDescent="0.3">
      <c r="A50" s="28"/>
      <c r="B50" s="28"/>
      <c r="C50" s="28"/>
      <c r="D50" s="28"/>
      <c r="E50" s="28"/>
      <c r="F50" s="28"/>
    </row>
    <row r="51" spans="1:6" ht="16.5" x14ac:dyDescent="0.3">
      <c r="A51" s="28"/>
      <c r="B51" s="28"/>
      <c r="C51" s="28"/>
      <c r="D51" s="28"/>
      <c r="E51" s="28"/>
      <c r="F51" s="28"/>
    </row>
    <row r="52" spans="1:6" ht="16.5" x14ac:dyDescent="0.3">
      <c r="A52" s="28"/>
      <c r="B52" s="28"/>
      <c r="C52" s="28"/>
      <c r="D52" s="28"/>
      <c r="E52" s="28"/>
      <c r="F52" s="28"/>
    </row>
    <row r="53" spans="1:6" ht="16.5" x14ac:dyDescent="0.3">
      <c r="A53" s="28"/>
      <c r="B53" s="28"/>
      <c r="C53" s="28"/>
      <c r="D53" s="28"/>
      <c r="E53" s="28"/>
      <c r="F53" s="28"/>
    </row>
    <row r="54" spans="1:6" ht="16.5" x14ac:dyDescent="0.3">
      <c r="A54" s="28"/>
      <c r="B54" s="28"/>
      <c r="C54" s="28"/>
      <c r="D54" s="28"/>
      <c r="E54" s="28"/>
      <c r="F54" s="28"/>
    </row>
    <row r="55" spans="1:6" ht="16.5" x14ac:dyDescent="0.3">
      <c r="A55" s="28"/>
      <c r="B55" s="28"/>
      <c r="C55" s="28"/>
      <c r="D55" s="28"/>
      <c r="E55" s="28"/>
      <c r="F55" s="28"/>
    </row>
    <row r="56" spans="1:6" ht="16.5" x14ac:dyDescent="0.3">
      <c r="A56" s="28"/>
      <c r="B56" s="28"/>
      <c r="C56" s="28"/>
      <c r="D56" s="28"/>
      <c r="E56" s="28"/>
      <c r="F56" s="28"/>
    </row>
    <row r="57" spans="1:6" ht="16.5" x14ac:dyDescent="0.3">
      <c r="A57" s="28"/>
      <c r="B57" s="28"/>
      <c r="C57" s="28"/>
      <c r="D57" s="28"/>
      <c r="E57" s="28"/>
      <c r="F57" s="28"/>
    </row>
    <row r="58" spans="1:6" ht="16.5" x14ac:dyDescent="0.3">
      <c r="A58" s="28"/>
      <c r="B58" s="28"/>
      <c r="C58" s="28"/>
      <c r="D58" s="28"/>
      <c r="E58" s="28"/>
      <c r="F58" s="28"/>
    </row>
    <row r="59" spans="1:6" ht="16.5" x14ac:dyDescent="0.3">
      <c r="A59" s="28"/>
      <c r="B59" s="28"/>
      <c r="C59" s="28"/>
      <c r="D59" s="28"/>
      <c r="E59" s="28"/>
      <c r="F59" s="28"/>
    </row>
    <row r="60" spans="1:6" ht="16.5" x14ac:dyDescent="0.3">
      <c r="F60" s="28"/>
    </row>
    <row r="61" spans="1:6" ht="16.5" x14ac:dyDescent="0.3">
      <c r="F61" s="28"/>
    </row>
  </sheetData>
  <mergeCells count="1">
    <mergeCell ref="C1:E1"/>
  </mergeCells>
  <printOptions horizontalCentered="1"/>
  <pageMargins left="0.95" right="0.7" top="0.5" bottom="0.25" header="0.3" footer="0.3"/>
  <pageSetup paperSize="9" scale="5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 7.00</vt:lpstr>
      <vt:lpstr>'pH 7.00'!Print_Area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ESPAK</cp:lastModifiedBy>
  <cp:lastPrinted>2022-05-23T07:16:49Z</cp:lastPrinted>
  <dcterms:created xsi:type="dcterms:W3CDTF">2019-12-19T05:48:48Z</dcterms:created>
  <dcterms:modified xsi:type="dcterms:W3CDTF">2022-05-23T11:33:02Z</dcterms:modified>
</cp:coreProperties>
</file>