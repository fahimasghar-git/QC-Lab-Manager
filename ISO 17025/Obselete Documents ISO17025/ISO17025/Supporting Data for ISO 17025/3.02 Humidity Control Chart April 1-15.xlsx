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Resourse Requirement Procedures\6.3 Environmental Conditions\"/>
    </mc:Choice>
  </mc:AlternateContent>
  <xr:revisionPtr revIDLastSave="0" documentId="13_ncr:1_{0BE42379-C354-415E-B927-ED8F3564C62C}" xr6:coauthVersionLast="45" xr6:coauthVersionMax="45" xr10:uidLastSave="{00000000-0000-0000-0000-000000000000}"/>
  <bookViews>
    <workbookView xWindow="-110" yWindow="-110" windowWidth="19420" windowHeight="10420" tabRatio="676" activeTab="3" xr2:uid="{00000000-000D-0000-FFFF-FFFF00000000}"/>
  </bookViews>
  <sheets>
    <sheet name="MainHall-Sep-1" sheetId="4" r:id="rId1"/>
    <sheet name="Icp-Sep-1" sheetId="2" r:id="rId2"/>
    <sheet name="MicroBiology-Sep-1 " sheetId="6" r:id="rId3"/>
    <sheet name="Sample Stroage Sep-1 " sheetId="10" r:id="rId4"/>
  </sheets>
  <definedNames>
    <definedName name="_xlnm.Print_Area" localSheetId="1">'Icp-Sep-1'!$A$1:$H$50</definedName>
    <definedName name="_xlnm.Print_Area" localSheetId="0">'MainHall-Sep-1'!$A$1:$H$51</definedName>
    <definedName name="_xlnm.Print_Area" localSheetId="2">'MicroBiology-Sep-1 '!$A$1:$H$50</definedName>
    <definedName name="_xlnm.Print_Area" localSheetId="3">'Sample Stroage Sep-1 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0" l="1"/>
  <c r="B36" i="6"/>
  <c r="B36" i="4"/>
  <c r="B36" i="2" l="1"/>
  <c r="L35" i="6" l="1"/>
  <c r="J35" i="6"/>
  <c r="F35" i="6"/>
  <c r="J34" i="4" l="1"/>
  <c r="L34" i="4"/>
  <c r="J35" i="4"/>
  <c r="L35" i="4"/>
  <c r="J33" i="2" l="1"/>
  <c r="L33" i="2"/>
  <c r="J34" i="2"/>
  <c r="L34" i="2"/>
  <c r="J35" i="2"/>
  <c r="L35" i="2"/>
  <c r="J34" i="10"/>
  <c r="L34" i="10"/>
  <c r="J35" i="10"/>
  <c r="L35" i="10"/>
  <c r="J34" i="6" l="1"/>
  <c r="L34" i="6"/>
  <c r="F34" i="10" l="1"/>
  <c r="F35" i="10"/>
  <c r="F34" i="6"/>
  <c r="F34" i="4"/>
  <c r="F35" i="4"/>
  <c r="F32" i="2" l="1"/>
  <c r="F33" i="2"/>
  <c r="F34" i="2"/>
  <c r="F35" i="2"/>
  <c r="F31" i="2" l="1"/>
  <c r="F30" i="2"/>
  <c r="F29" i="2"/>
  <c r="F28" i="2"/>
  <c r="F33" i="10"/>
  <c r="F32" i="10"/>
  <c r="F31" i="10"/>
  <c r="F30" i="10"/>
  <c r="F29" i="10"/>
  <c r="F28" i="10"/>
  <c r="F33" i="6"/>
  <c r="F32" i="6"/>
  <c r="F31" i="6"/>
  <c r="F30" i="6"/>
  <c r="F29" i="6"/>
  <c r="F28" i="6"/>
  <c r="F33" i="4"/>
  <c r="F32" i="4"/>
  <c r="F31" i="4"/>
  <c r="F30" i="4"/>
  <c r="F29" i="4"/>
  <c r="F28" i="4"/>
  <c r="F10" i="4" l="1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L10" i="10" l="1"/>
  <c r="L10" i="6"/>
  <c r="L10" i="4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F27" i="6" l="1"/>
  <c r="F26" i="6"/>
  <c r="F25" i="6"/>
  <c r="F24" i="6"/>
  <c r="F23" i="6"/>
  <c r="F22" i="6"/>
  <c r="F21" i="6"/>
  <c r="F20" i="6"/>
  <c r="F19" i="6"/>
  <c r="F18" i="6"/>
  <c r="F27" i="2"/>
  <c r="F26" i="2"/>
  <c r="F25" i="2"/>
  <c r="F24" i="2"/>
  <c r="F23" i="2"/>
  <c r="F22" i="2"/>
  <c r="F21" i="2"/>
  <c r="F20" i="2"/>
  <c r="F19" i="2"/>
  <c r="F18" i="2"/>
  <c r="F17" i="10" l="1"/>
  <c r="F16" i="10"/>
  <c r="F15" i="10"/>
  <c r="F14" i="10"/>
  <c r="F13" i="10"/>
  <c r="F12" i="10"/>
  <c r="F11" i="10"/>
  <c r="F10" i="10"/>
  <c r="F17" i="6"/>
  <c r="F16" i="6"/>
  <c r="F15" i="6"/>
  <c r="F14" i="6"/>
  <c r="F13" i="6"/>
  <c r="F12" i="6"/>
  <c r="F11" i="6"/>
  <c r="F10" i="6"/>
  <c r="F11" i="2"/>
  <c r="F17" i="2"/>
  <c r="F16" i="2" l="1"/>
  <c r="F15" i="2"/>
  <c r="F14" i="2"/>
  <c r="F13" i="2"/>
  <c r="F12" i="2"/>
  <c r="F10" i="2"/>
  <c r="L33" i="10" l="1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F27" i="10"/>
  <c r="L26" i="10"/>
  <c r="J26" i="10"/>
  <c r="F26" i="10"/>
  <c r="L25" i="10"/>
  <c r="J25" i="10"/>
  <c r="F25" i="10"/>
  <c r="L24" i="10"/>
  <c r="J24" i="10"/>
  <c r="F24" i="10"/>
  <c r="L23" i="10"/>
  <c r="J23" i="10"/>
  <c r="F23" i="10"/>
  <c r="L22" i="10"/>
  <c r="J22" i="10"/>
  <c r="F22" i="10"/>
  <c r="L21" i="10"/>
  <c r="J21" i="10"/>
  <c r="F21" i="10"/>
  <c r="L20" i="10"/>
  <c r="J20" i="10"/>
  <c r="F20" i="10"/>
  <c r="L19" i="10"/>
  <c r="J19" i="10"/>
  <c r="F19" i="10"/>
  <c r="L18" i="10"/>
  <c r="J18" i="10"/>
  <c r="F18" i="10"/>
  <c r="L17" i="10"/>
  <c r="J17" i="10"/>
  <c r="L16" i="10"/>
  <c r="J16" i="10"/>
  <c r="L15" i="10"/>
  <c r="J15" i="10"/>
  <c r="L14" i="10"/>
  <c r="J14" i="10"/>
  <c r="L13" i="10"/>
  <c r="J13" i="10"/>
  <c r="L12" i="10"/>
  <c r="J12" i="10"/>
  <c r="L11" i="10"/>
  <c r="J11" i="10"/>
  <c r="J10" i="10"/>
  <c r="L33" i="6"/>
  <c r="J33" i="6"/>
  <c r="L32" i="6"/>
  <c r="J32" i="6"/>
  <c r="L31" i="6"/>
  <c r="J31" i="6"/>
  <c r="L30" i="6"/>
  <c r="J30" i="6"/>
  <c r="L29" i="6"/>
  <c r="J29" i="6"/>
  <c r="L28" i="6"/>
  <c r="J28" i="6"/>
  <c r="L27" i="6"/>
  <c r="J27" i="6"/>
  <c r="L26" i="6"/>
  <c r="J26" i="6"/>
  <c r="L25" i="6"/>
  <c r="J25" i="6"/>
  <c r="L24" i="6"/>
  <c r="J24" i="6"/>
  <c r="L23" i="6"/>
  <c r="J23" i="6"/>
  <c r="L22" i="6"/>
  <c r="J22" i="6"/>
  <c r="L21" i="6"/>
  <c r="J21" i="6"/>
  <c r="L20" i="6"/>
  <c r="J20" i="6"/>
  <c r="L19" i="6"/>
  <c r="J19" i="6"/>
  <c r="L18" i="6"/>
  <c r="J18" i="6"/>
  <c r="L17" i="6"/>
  <c r="J17" i="6"/>
  <c r="L16" i="6"/>
  <c r="J16" i="6"/>
  <c r="L15" i="6"/>
  <c r="J15" i="6"/>
  <c r="L14" i="6"/>
  <c r="J14" i="6"/>
  <c r="L13" i="6"/>
  <c r="J13" i="6"/>
  <c r="L12" i="6"/>
  <c r="J12" i="6"/>
  <c r="L11" i="6"/>
  <c r="J11" i="6"/>
  <c r="J10" i="6"/>
  <c r="L33" i="4"/>
  <c r="J33" i="4"/>
  <c r="L32" i="4"/>
  <c r="J32" i="4"/>
  <c r="L31" i="4"/>
  <c r="J31" i="4"/>
  <c r="L30" i="4"/>
  <c r="J30" i="4"/>
  <c r="L29" i="4"/>
  <c r="J29" i="4"/>
  <c r="L28" i="4"/>
  <c r="J28" i="4"/>
  <c r="L27" i="4"/>
  <c r="J27" i="4"/>
  <c r="L26" i="4"/>
  <c r="J26" i="4"/>
  <c r="L25" i="4"/>
  <c r="J25" i="4"/>
  <c r="L24" i="4"/>
  <c r="J24" i="4"/>
  <c r="L23" i="4"/>
  <c r="J23" i="4"/>
  <c r="L22" i="4"/>
  <c r="J22" i="4"/>
  <c r="L21" i="4"/>
  <c r="J21" i="4"/>
  <c r="L20" i="4"/>
  <c r="J20" i="4"/>
  <c r="L19" i="4"/>
  <c r="J19" i="4"/>
  <c r="L18" i="4"/>
  <c r="J18" i="4"/>
  <c r="L17" i="4"/>
  <c r="J17" i="4"/>
  <c r="L16" i="4"/>
  <c r="J16" i="4"/>
  <c r="L15" i="4"/>
  <c r="J15" i="4"/>
  <c r="L14" i="4"/>
  <c r="J14" i="4"/>
  <c r="L13" i="4"/>
  <c r="J13" i="4"/>
  <c r="L12" i="4"/>
  <c r="J12" i="4"/>
  <c r="L11" i="4"/>
  <c r="J11" i="4"/>
  <c r="J10" i="4"/>
  <c r="J11" i="2" l="1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10" i="2"/>
  <c r="L10" i="2" l="1"/>
</calcChain>
</file>

<file path=xl/sharedStrings.xml><?xml version="1.0" encoding="utf-8"?>
<sst xmlns="http://schemas.openxmlformats.org/spreadsheetml/2006/main" count="619" uniqueCount="65">
  <si>
    <t>Page 1 of 1</t>
  </si>
  <si>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</si>
  <si>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</si>
  <si>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</si>
  <si>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</si>
  <si>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</si>
  <si>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</si>
  <si>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</si>
  <si>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</si>
  <si>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</si>
  <si>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</si>
  <si>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</si>
  <si>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</si>
  <si>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</si>
  <si>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</si>
  <si>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</si>
  <si>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</si>
  <si>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</si>
  <si>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QAM Remarks:</t>
  </si>
  <si>
    <t>Duration:</t>
  </si>
  <si>
    <t>Device ID:</t>
  </si>
  <si>
    <t>Wet &amp; Dry Bulb Thermometer</t>
  </si>
  <si>
    <t>Action Taken, if any</t>
  </si>
  <si>
    <t>Time</t>
  </si>
  <si>
    <t>11:00 A.M.</t>
  </si>
  <si>
    <t>03:00 P.M.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</si>
  <si>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</si>
  <si>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</si>
  <si>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</si>
  <si>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</si>
  <si>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</si>
  <si>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</si>
  <si>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</si>
  <si>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</si>
  <si>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</si>
  <si>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</si>
  <si>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ESP-LAB-WDT-003</t>
  </si>
  <si>
    <t>ESP-LAB-WDT-001</t>
  </si>
  <si>
    <t>ESP-LAB-WDT-006</t>
  </si>
  <si>
    <t>ESP-LAB-WDT-002</t>
  </si>
  <si>
    <t>Day</t>
  </si>
  <si>
    <t>Monday</t>
  </si>
  <si>
    <t>Doc. No:</t>
  </si>
  <si>
    <t>SOP-019/F-02</t>
  </si>
  <si>
    <t>Rev.</t>
  </si>
  <si>
    <t>Effective:</t>
  </si>
  <si>
    <t>02:00 P.M.</t>
  </si>
  <si>
    <t>Average</t>
  </si>
  <si>
    <t>Minimum Humidity</t>
  </si>
  <si>
    <t>Friday</t>
  </si>
  <si>
    <t>saturday</t>
  </si>
  <si>
    <t>monday</t>
  </si>
  <si>
    <t>tuesday</t>
  </si>
  <si>
    <t>wednesday</t>
  </si>
  <si>
    <t>Thursday</t>
  </si>
  <si>
    <t>friday</t>
  </si>
  <si>
    <t>thursday</t>
  </si>
  <si>
    <t>Maximum Temp.</t>
  </si>
  <si>
    <t>Relative Humidity</t>
  </si>
  <si>
    <t>Main Hall</t>
  </si>
  <si>
    <t>April-2022 (First Half)</t>
  </si>
  <si>
    <t>Icp Section</t>
  </si>
  <si>
    <t>Microbiology Section</t>
  </si>
  <si>
    <t>Sample Storage Room</t>
  </si>
  <si>
    <t>Thermohygrometer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</si>
</sst>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0" fontId="2" fillId="0" borderId="9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49" fontId="2" fillId="0" borderId="5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5" xfId="0" applyNumberFormat="1" applyFont="1" applyBorder="1" applyAlignment="1">
      <alignment horizontal="left"/>
    </xf>
    <xf numFmtId="166" fontId="2" fillId="0" borderId="3" xfId="0" applyNumberFormat="1" applyFont="1" applyBorder="1" applyAlignment="1">
      <alignment horizontal="left"/>
    </xf>
    <xf numFmtId="165" fontId="2" fillId="0" borderId="5" xfId="0" applyNumberFormat="1" applyFont="1" applyBorder="1" applyAlignment="1">
      <alignment horizontal="center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2" fillId="0" borderId="7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left"/>
    </xf>
    <xf numFmtId="0" fontId="5" fillId="0" borderId="2" xfId="0" applyFont="1" applyBorder="1"/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0" borderId="0" xfId="0" applyFont="1"/>
    <xf numFmtId="0" fontId="3" fillId="0" borderId="11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right" vertical="center" wrapText="1"/>
    </xf>
    <xf numFmtId="15" fontId="4" fillId="0" borderId="11" xfId="0" applyNumberFormat="1" applyFont="1" applyBorder="1" applyAlignment="1">
      <alignment horizontal="justify" vertical="center" wrapText="1"/>
    </xf>
    <xf numFmtId="0" fontId="4" fillId="0" borderId="11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left" vertical="center" indent="1"/>
    </xf>
    <xf numFmtId="166" fontId="2" fillId="0" borderId="3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'MainHall-Sep-1'!$J$9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'MainHall-Sep-1'!$J$10:$J$35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'MainHall-Sep-1'!$K$9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'MainHall-Sep-1'!$K$10:$K$35</c:f>
              <c:numCache>
                <c:formatCode>0.0</c:formatCode>
                <c:ptCount val="2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'MainHall-Sep-1'!$L$9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'MainHall-Sep-1'!$L$10:$L$35</c:f>
              <c:numCache>
                <c:formatCode>0.0</c:formatCode>
                <c:ptCount val="26"/>
                <c:pt idx="0">
                  <c:v>53</c:v>
                </c:pt>
                <c:pt idx="1">
                  <c:v>53</c:v>
                </c:pt>
                <c:pt idx="2">
                  <c:v>50</c:v>
                </c:pt>
                <c:pt idx="3">
                  <c:v>50</c:v>
                </c:pt>
                <c:pt idx="4">
                  <c:v>48</c:v>
                </c:pt>
                <c:pt idx="5">
                  <c:v>48</c:v>
                </c:pt>
                <c:pt idx="6">
                  <c:v>49</c:v>
                </c:pt>
                <c:pt idx="7">
                  <c:v>49</c:v>
                </c:pt>
                <c:pt idx="8">
                  <c:v>50</c:v>
                </c:pt>
                <c:pt idx="9">
                  <c:v>50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49</c:v>
                </c:pt>
                <c:pt idx="14">
                  <c:v>52</c:v>
                </c:pt>
                <c:pt idx="15">
                  <c:v>52</c:v>
                </c:pt>
                <c:pt idx="16">
                  <c:v>51</c:v>
                </c:pt>
                <c:pt idx="17">
                  <c:v>51</c:v>
                </c:pt>
                <c:pt idx="18">
                  <c:v>52</c:v>
                </c:pt>
                <c:pt idx="19">
                  <c:v>52</c:v>
                </c:pt>
                <c:pt idx="20">
                  <c:v>53</c:v>
                </c:pt>
                <c:pt idx="21">
                  <c:v>53</c:v>
                </c:pt>
                <c:pt idx="22">
                  <c:v>50</c:v>
                </c:pt>
                <c:pt idx="23">
                  <c:v>50</c:v>
                </c:pt>
                <c:pt idx="24">
                  <c:v>49</c:v>
                </c:pt>
                <c:pt idx="2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'MainHall-Sep-1'!$M$9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'MainHall-Sep-1'!$M$10:$M$35</c:f>
              <c:numCache>
                <c:formatCode>0.0</c:formatCode>
                <c:ptCount val="26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43</c:v>
                </c:pt>
                <c:pt idx="21">
                  <c:v>43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'MainHall-Sep-1'!$N$9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'MainHall-Sep-1'!$N$10:$N$35</c:f>
              <c:numCache>
                <c:formatCode>0.0</c:formatCode>
                <c:ptCount val="26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'MainHall-Sep-1'!$O$9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'MainHall-Sep-1'!$O$10:$O$35</c:f>
              <c:numCache>
                <c:formatCode>0.0</c:formatCode>
                <c:ptCount val="2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'MainHall-Sep-1'!$P$9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'MainHall-Sep-1'!$P$10:$P$35</c:f>
              <c:numCache>
                <c:formatCode>0.0</c:formatCode>
                <c:ptCount val="2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64"/>
          <c:min val="3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3.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'Icp-Sep-1'!$J$9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'Icp-Sep-1'!$J$10:$J$35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'Icp-Sep-1'!$K$9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'Icp-Sep-1'!$K$10:$K$35</c:f>
              <c:numCache>
                <c:formatCode>0.0</c:formatCode>
                <c:ptCount val="2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'Icp-Sep-1'!$L$9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'Icp-Sep-1'!$L$10:$L$35</c:f>
              <c:numCache>
                <c:formatCode>0.0</c:formatCode>
                <c:ptCount val="26"/>
                <c:pt idx="0">
                  <c:v>49</c:v>
                </c:pt>
                <c:pt idx="1">
                  <c:v>49</c:v>
                </c:pt>
                <c:pt idx="2">
                  <c:v>48</c:v>
                </c:pt>
                <c:pt idx="3">
                  <c:v>48</c:v>
                </c:pt>
                <c:pt idx="4">
                  <c:v>50</c:v>
                </c:pt>
                <c:pt idx="5">
                  <c:v>50</c:v>
                </c:pt>
                <c:pt idx="6">
                  <c:v>49</c:v>
                </c:pt>
                <c:pt idx="7">
                  <c:v>49</c:v>
                </c:pt>
                <c:pt idx="8">
                  <c:v>48</c:v>
                </c:pt>
                <c:pt idx="9">
                  <c:v>48</c:v>
                </c:pt>
                <c:pt idx="10">
                  <c:v>50</c:v>
                </c:pt>
                <c:pt idx="11">
                  <c:v>50</c:v>
                </c:pt>
                <c:pt idx="12">
                  <c:v>48</c:v>
                </c:pt>
                <c:pt idx="13">
                  <c:v>48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51</c:v>
                </c:pt>
                <c:pt idx="19">
                  <c:v>51</c:v>
                </c:pt>
                <c:pt idx="20">
                  <c:v>50</c:v>
                </c:pt>
                <c:pt idx="21">
                  <c:v>50</c:v>
                </c:pt>
                <c:pt idx="22">
                  <c:v>52</c:v>
                </c:pt>
                <c:pt idx="23">
                  <c:v>52</c:v>
                </c:pt>
                <c:pt idx="24">
                  <c:v>48</c:v>
                </c:pt>
                <c:pt idx="25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'Icp-Sep-1'!$M$9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'Icp-Sep-1'!$M$10:$M$35</c:f>
              <c:numCache>
                <c:formatCode>0.0</c:formatCode>
                <c:ptCount val="26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43</c:v>
                </c:pt>
                <c:pt idx="21">
                  <c:v>43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'Icp-Sep-1'!$N$9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'Icp-Sep-1'!$N$10:$N$35</c:f>
              <c:numCache>
                <c:formatCode>0.0</c:formatCode>
                <c:ptCount val="26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'Icp-Sep-1'!$O$9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'Icp-Sep-1'!$O$10:$O$35</c:f>
              <c:numCache>
                <c:formatCode>0.0</c:formatCode>
                <c:ptCount val="2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'Icp-Sep-1'!$P$9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'Icp-Sep-1'!$P$10:$P$35</c:f>
              <c:numCache>
                <c:formatCode>0.0</c:formatCode>
                <c:ptCount val="2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B-41DB-867E-E187A1675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7264"/>
        <c:axId val="-1833458688"/>
      </c:lineChart>
      <c:catAx>
        <c:axId val="-183344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58688"/>
        <c:crosses val="autoZero"/>
        <c:auto val="1"/>
        <c:lblAlgn val="ctr"/>
        <c:lblOffset val="100"/>
        <c:noMultiLvlLbl val="0"/>
      </c:catAx>
      <c:valAx>
        <c:axId val="-1833458688"/>
        <c:scaling>
          <c:orientation val="minMax"/>
          <c:max val="64"/>
          <c:min val="3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264"/>
        <c:crosses val="autoZero"/>
        <c:crossBetween val="between"/>
        <c:majorUnit val="3.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'MicroBiology-Sep-1 '!$J$9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'MicroBiology-Sep-1 '!$J$10:$J$35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'MicroBiology-Sep-1 '!$K$9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'MicroBiology-Sep-1 '!$K$10:$K$35</c:f>
              <c:numCache>
                <c:formatCode>0.0</c:formatCode>
                <c:ptCount val="2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'MicroBiology-Sep-1 '!$L$9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'MicroBiology-Sep-1 '!$L$10:$L$35</c:f>
              <c:numCache>
                <c:formatCode>0.0</c:formatCode>
                <c:ptCount val="26"/>
                <c:pt idx="0">
                  <c:v>50</c:v>
                </c:pt>
                <c:pt idx="1">
                  <c:v>50</c:v>
                </c:pt>
                <c:pt idx="2">
                  <c:v>53</c:v>
                </c:pt>
                <c:pt idx="3">
                  <c:v>53</c:v>
                </c:pt>
                <c:pt idx="4">
                  <c:v>50</c:v>
                </c:pt>
                <c:pt idx="5">
                  <c:v>50</c:v>
                </c:pt>
                <c:pt idx="6">
                  <c:v>49</c:v>
                </c:pt>
                <c:pt idx="7">
                  <c:v>49</c:v>
                </c:pt>
                <c:pt idx="8">
                  <c:v>51</c:v>
                </c:pt>
                <c:pt idx="9">
                  <c:v>51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49</c:v>
                </c:pt>
                <c:pt idx="14">
                  <c:v>50</c:v>
                </c:pt>
                <c:pt idx="15">
                  <c:v>50</c:v>
                </c:pt>
                <c:pt idx="16">
                  <c:v>52</c:v>
                </c:pt>
                <c:pt idx="17">
                  <c:v>52</c:v>
                </c:pt>
                <c:pt idx="18">
                  <c:v>50</c:v>
                </c:pt>
                <c:pt idx="19">
                  <c:v>50</c:v>
                </c:pt>
                <c:pt idx="20">
                  <c:v>53</c:v>
                </c:pt>
                <c:pt idx="21">
                  <c:v>53</c:v>
                </c:pt>
                <c:pt idx="22">
                  <c:v>53</c:v>
                </c:pt>
                <c:pt idx="23">
                  <c:v>53</c:v>
                </c:pt>
                <c:pt idx="24">
                  <c:v>49</c:v>
                </c:pt>
                <c:pt idx="2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'MicroBiology-Sep-1 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'MicroBiology-Sep-1 '!$M$10:$M$35</c:f>
              <c:numCache>
                <c:formatCode>0.0</c:formatCode>
                <c:ptCount val="26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43</c:v>
                </c:pt>
                <c:pt idx="21">
                  <c:v>43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'MicroBiology-Sep-1 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'MicroBiology-Sep-1 '!$N$10:$N$35</c:f>
              <c:numCache>
                <c:formatCode>0.0</c:formatCode>
                <c:ptCount val="26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'MicroBiology-Sep-1 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'MicroBiology-Sep-1 '!$O$10:$O$35</c:f>
              <c:numCache>
                <c:formatCode>0.0</c:formatCode>
                <c:ptCount val="2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'MicroBiology-Sep-1 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'MicroBiology-Sep-1 '!$P$10:$P$35</c:f>
              <c:numCache>
                <c:formatCode>0.0</c:formatCode>
                <c:ptCount val="2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F-4FB7-8974-992052243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6720"/>
        <c:axId val="-1833446176"/>
      </c:lineChart>
      <c:catAx>
        <c:axId val="-183344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6176"/>
        <c:crosses val="autoZero"/>
        <c:auto val="1"/>
        <c:lblAlgn val="ctr"/>
        <c:lblOffset val="100"/>
        <c:noMultiLvlLbl val="0"/>
      </c:catAx>
      <c:valAx>
        <c:axId val="-1833446176"/>
        <c:scaling>
          <c:orientation val="minMax"/>
          <c:max val="65"/>
          <c:min val="3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6720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'Sample Stroage Sep-1 '!$J$9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'Sample Stroage Sep-1 '!$J$10:$J$35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'Sample Stroage Sep-1 '!$K$9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'Sample Stroage Sep-1 '!$K$10:$K$35</c:f>
              <c:numCache>
                <c:formatCode>0.0</c:formatCode>
                <c:ptCount val="2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'Sample Stroage Sep-1 '!$L$9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5"/>
            <c:spPr>
              <a:ln>
                <a:solidFill>
                  <a:schemeClr val="accent1"/>
                </a:solidFill>
              </a:ln>
            </c:spPr>
          </c:marker>
          <c:val>
            <c:numRef>
              <c:f>'Sample Stroage Sep-1 '!$L$10:$L$35</c:f>
              <c:numCache>
                <c:formatCode>0.0</c:formatCode>
                <c:ptCount val="26"/>
                <c:pt idx="0">
                  <c:v>50</c:v>
                </c:pt>
                <c:pt idx="1">
                  <c:v>50</c:v>
                </c:pt>
                <c:pt idx="2">
                  <c:v>48</c:v>
                </c:pt>
                <c:pt idx="3">
                  <c:v>48</c:v>
                </c:pt>
                <c:pt idx="4">
                  <c:v>50</c:v>
                </c:pt>
                <c:pt idx="5">
                  <c:v>50</c:v>
                </c:pt>
                <c:pt idx="6">
                  <c:v>49</c:v>
                </c:pt>
                <c:pt idx="7">
                  <c:v>49</c:v>
                </c:pt>
                <c:pt idx="8">
                  <c:v>51</c:v>
                </c:pt>
                <c:pt idx="9">
                  <c:v>51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49</c:v>
                </c:pt>
                <c:pt idx="14">
                  <c:v>48</c:v>
                </c:pt>
                <c:pt idx="15">
                  <c:v>48</c:v>
                </c:pt>
                <c:pt idx="16">
                  <c:v>52</c:v>
                </c:pt>
                <c:pt idx="17">
                  <c:v>52</c:v>
                </c:pt>
                <c:pt idx="18">
                  <c:v>54</c:v>
                </c:pt>
                <c:pt idx="19">
                  <c:v>54</c:v>
                </c:pt>
                <c:pt idx="20">
                  <c:v>55</c:v>
                </c:pt>
                <c:pt idx="21">
                  <c:v>55</c:v>
                </c:pt>
                <c:pt idx="22">
                  <c:v>53</c:v>
                </c:pt>
                <c:pt idx="23">
                  <c:v>53</c:v>
                </c:pt>
                <c:pt idx="24">
                  <c:v>51</c:v>
                </c:pt>
                <c:pt idx="2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'Sample Stroage Sep-1 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'Sample Stroage Sep-1 '!$M$10:$M$35</c:f>
              <c:numCache>
                <c:formatCode>0.0</c:formatCode>
                <c:ptCount val="26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43</c:v>
                </c:pt>
                <c:pt idx="21">
                  <c:v>43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'Sample Stroage Sep-1 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'Sample Stroage Sep-1 '!$N$10:$N$35</c:f>
              <c:numCache>
                <c:formatCode>0.0</c:formatCode>
                <c:ptCount val="26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'Sample Stroage Sep-1 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'Sample Stroage Sep-1 '!$O$10:$O$35</c:f>
              <c:numCache>
                <c:formatCode>0.0</c:formatCode>
                <c:ptCount val="2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'Sample Stroage Sep-1 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'Sample Stroage Sep-1 '!$P$10:$P$35</c:f>
              <c:numCache>
                <c:formatCode>0.0</c:formatCode>
                <c:ptCount val="2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9-43A3-8E1D-4E6FAAA5F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5632"/>
        <c:axId val="-1833445088"/>
      </c:lineChart>
      <c:catAx>
        <c:axId val="-183344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5088"/>
        <c:crosses val="autoZero"/>
        <c:auto val="1"/>
        <c:lblAlgn val="ctr"/>
        <c:lblOffset val="100"/>
        <c:noMultiLvlLbl val="0"/>
      </c:catAx>
      <c:valAx>
        <c:axId val="-1833445088"/>
        <c:scaling>
          <c:orientation val="minMax"/>
          <c:max val="65"/>
          <c:min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563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1009650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0</xdr:col>
      <xdr:colOff>1438275</xdr:colOff>
      <xdr:row>1</xdr:row>
      <xdr:rowOff>130479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3723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0</xdr:col>
      <xdr:colOff>1438275</xdr:colOff>
      <xdr:row>1</xdr:row>
      <xdr:rowOff>1</xdr:rowOff>
    </xdr:to>
    <xdr:pic>
      <xdr:nvPicPr>
        <xdr:cNvPr id="5" name="Picture 4" descr="espak_logo_gre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0</xdr:col>
      <xdr:colOff>1438275</xdr:colOff>
      <xdr:row>1</xdr:row>
      <xdr:rowOff>1</xdr:rowOff>
    </xdr:to>
    <xdr:pic>
      <xdr:nvPicPr>
        <xdr:cNvPr id="6" name="Picture 5" descr="espak_logo_gre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0</xdr:col>
      <xdr:colOff>1438275</xdr:colOff>
      <xdr:row>1</xdr:row>
      <xdr:rowOff>1</xdr:rowOff>
    </xdr:to>
    <xdr:pic>
      <xdr:nvPicPr>
        <xdr:cNvPr id="7" name="Picture 6" descr="espak_logo_gre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0</xdr:col>
      <xdr:colOff>1438275</xdr:colOff>
      <xdr:row>1</xdr:row>
      <xdr:rowOff>1</xdr:rowOff>
    </xdr:to>
    <xdr:pic>
      <xdr:nvPicPr>
        <xdr:cNvPr id="8" name="Picture 7" descr="espak_logo_gre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1009650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285750</xdr:colOff>
      <xdr:row>1</xdr:row>
      <xdr:rowOff>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285750</xdr:colOff>
      <xdr:row>1</xdr:row>
      <xdr:rowOff>1</xdr:rowOff>
    </xdr:to>
    <xdr:pic>
      <xdr:nvPicPr>
        <xdr:cNvPr id="5" name="Picture 4" descr="espak_logo_gre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285750</xdr:colOff>
      <xdr:row>1</xdr:row>
      <xdr:rowOff>1</xdr:rowOff>
    </xdr:to>
    <xdr:pic>
      <xdr:nvPicPr>
        <xdr:cNvPr id="6" name="Picture 5" descr="espak_logo_gre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285750</xdr:colOff>
      <xdr:row>1</xdr:row>
      <xdr:rowOff>1</xdr:rowOff>
    </xdr:to>
    <xdr:pic>
      <xdr:nvPicPr>
        <xdr:cNvPr id="7" name="Picture 6" descr="espak_logo_gre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1009650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88733</xdr:colOff>
      <xdr:row>1</xdr:row>
      <xdr:rowOff>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85725</xdr:colOff>
      <xdr:row>1</xdr:row>
      <xdr:rowOff>1</xdr:rowOff>
    </xdr:to>
    <xdr:pic>
      <xdr:nvPicPr>
        <xdr:cNvPr id="5" name="Picture 4" descr="espak_logo_gre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85725</xdr:colOff>
      <xdr:row>1</xdr:row>
      <xdr:rowOff>1</xdr:rowOff>
    </xdr:to>
    <xdr:pic>
      <xdr:nvPicPr>
        <xdr:cNvPr id="6" name="Picture 5" descr="espak_logo_gre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85725</xdr:colOff>
      <xdr:row>1</xdr:row>
      <xdr:rowOff>1</xdr:rowOff>
    </xdr:to>
    <xdr:pic>
      <xdr:nvPicPr>
        <xdr:cNvPr id="7" name="Picture 6" descr="espak_logo_green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85725</xdr:colOff>
      <xdr:row>1</xdr:row>
      <xdr:rowOff>1</xdr:rowOff>
    </xdr:to>
    <xdr:pic>
      <xdr:nvPicPr>
        <xdr:cNvPr id="8" name="Picture 7" descr="espak_logo_gre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1009650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95250</xdr:colOff>
      <xdr:row>1</xdr:row>
      <xdr:rowOff>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95250</xdr:colOff>
      <xdr:row>1</xdr:row>
      <xdr:rowOff>1</xdr:rowOff>
    </xdr:to>
    <xdr:pic>
      <xdr:nvPicPr>
        <xdr:cNvPr id="5" name="Picture 4" descr="espak_logo_gre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95250</xdr:colOff>
      <xdr:row>1</xdr:row>
      <xdr:rowOff>1</xdr:rowOff>
    </xdr:to>
    <xdr:pic>
      <xdr:nvPicPr>
        <xdr:cNvPr id="6" name="Picture 5" descr="espak_logo_gre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95250</xdr:colOff>
      <xdr:row>1</xdr:row>
      <xdr:rowOff>1</xdr:rowOff>
    </xdr:to>
    <xdr:pic>
      <xdr:nvPicPr>
        <xdr:cNvPr id="7" name="Picture 6" descr="espak_logo_gre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95250</xdr:colOff>
      <xdr:row>1</xdr:row>
      <xdr:rowOff>1</xdr:rowOff>
    </xdr:to>
    <xdr:pic>
      <xdr:nvPicPr>
        <xdr:cNvPr id="8" name="Picture 7" descr="espak_logo_gree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view="pageBreakPreview" zoomScaleNormal="100" zoomScaleSheetLayoutView="100" workbookViewId="0">
      <selection activeCell="G3" sqref="G3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42" customFormat="1" ht="21" customHeight="1" x14ac:dyDescent="0.45">
      <c r="A1" s="39"/>
      <c r="B1" s="51"/>
      <c r="C1" s="51"/>
      <c r="D1" s="52" t="s">
        <v>4</v>
      </c>
      <c r="E1" s="52"/>
      <c r="F1" s="52"/>
      <c r="G1" s="48"/>
      <c r="H1" s="41"/>
    </row>
    <row r="2" spans="1:16" x14ac:dyDescent="0.45">
      <c r="A2" s="8"/>
      <c r="B2" s="9"/>
      <c r="C2" s="9"/>
      <c r="D2" s="10"/>
      <c r="E2" s="10"/>
      <c r="F2" s="10"/>
    </row>
    <row r="3" spans="1:16" ht="19.5" customHeight="1" x14ac:dyDescent="0.45">
      <c r="A3" s="11" t="s">
        <v>5</v>
      </c>
      <c r="B3" s="5" t="s">
        <v>58</v>
      </c>
      <c r="C3" s="12"/>
      <c r="D3" s="12"/>
      <c r="E3" s="13" t="s">
        <v>19</v>
      </c>
      <c r="F3" s="5"/>
      <c r="G3" s="14" t="s">
        <v>60</v>
      </c>
      <c r="H3" s="5"/>
    </row>
    <row r="4" spans="1:16" ht="21.75" customHeight="1" x14ac:dyDescent="0.45">
      <c r="A4" s="13" t="s">
        <v>16</v>
      </c>
      <c r="B4" s="5" t="s">
        <v>59</v>
      </c>
      <c r="C4" s="7"/>
      <c r="D4" s="16"/>
      <c r="E4" s="13" t="s">
        <v>17</v>
      </c>
      <c r="F4" s="5"/>
      <c r="G4" s="15" t="s">
        <v>21</v>
      </c>
      <c r="H4" s="5"/>
    </row>
    <row r="5" spans="1:16" x14ac:dyDescent="0.45">
      <c r="A5" s="13" t="s">
        <v>28</v>
      </c>
      <c r="B5" s="5">
        <v>50</v>
      </c>
      <c r="C5" s="38"/>
      <c r="D5" s="18"/>
      <c r="E5" s="13" t="s">
        <v>20</v>
      </c>
      <c r="F5" s="5"/>
      <c r="G5" s="19" t="s">
        <v>37</v>
      </c>
      <c r="H5" s="5"/>
    </row>
    <row r="6" spans="1:16" x14ac:dyDescent="0.45">
      <c r="A6" s="17" t="s">
        <v>29</v>
      </c>
      <c r="B6" s="5">
        <v>43</v>
      </c>
      <c r="C6" s="38"/>
      <c r="D6" s="20"/>
      <c r="E6" s="13" t="s">
        <v>31</v>
      </c>
      <c r="F6" s="5"/>
      <c r="G6" s="19">
        <v>57</v>
      </c>
      <c r="H6" s="5"/>
    </row>
    <row r="7" spans="1:16" x14ac:dyDescent="0.45">
      <c r="A7" s="17" t="s">
        <v>30</v>
      </c>
      <c r="B7" s="5">
        <v>40</v>
      </c>
      <c r="C7" s="38"/>
      <c r="D7" s="20"/>
      <c r="E7" s="13" t="s">
        <v>32</v>
      </c>
      <c r="F7" s="5"/>
      <c r="G7" s="19">
        <v>60</v>
      </c>
      <c r="H7" s="5"/>
    </row>
    <row r="8" spans="1:16" ht="339.75" customHeight="1" x14ac:dyDescent="0.45">
      <c r="D8" s="21"/>
      <c r="F8" s="21"/>
    </row>
    <row r="9" spans="1:16" ht="46.5" customHeight="1" x14ac:dyDescent="0.45">
      <c r="A9" s="1" t="s">
        <v>35</v>
      </c>
      <c r="B9" s="1" t="s">
        <v>3</v>
      </c>
      <c r="C9" s="1" t="s">
        <v>40</v>
      </c>
      <c r="D9" s="1" t="s">
        <v>23</v>
      </c>
      <c r="E9" s="1" t="s">
        <v>33</v>
      </c>
      <c r="F9" s="2" t="s">
        <v>34</v>
      </c>
      <c r="G9" s="26" t="s">
        <v>6</v>
      </c>
      <c r="H9" s="28" t="s">
        <v>22</v>
      </c>
      <c r="J9" s="3" t="s">
        <v>13</v>
      </c>
      <c r="K9" s="4" t="s">
        <v>26</v>
      </c>
      <c r="L9" s="4" t="s">
        <v>27</v>
      </c>
      <c r="M9" s="4" t="s">
        <v>9</v>
      </c>
      <c r="N9" s="4" t="s">
        <v>10</v>
      </c>
      <c r="O9" s="4" t="s">
        <v>11</v>
      </c>
      <c r="P9" s="4" t="s">
        <v>12</v>
      </c>
    </row>
    <row r="10" spans="1:16" ht="20.149999999999999" customHeight="1" x14ac:dyDescent="0.45">
      <c r="A10" s="29">
        <v>1</v>
      </c>
      <c r="B10" s="27">
        <v>44652</v>
      </c>
      <c r="C10" s="27" t="s">
        <v>49</v>
      </c>
      <c r="D10" s="29" t="s">
        <v>24</v>
      </c>
      <c r="E10" s="30">
        <v>53</v>
      </c>
      <c r="F10" s="30">
        <f t="shared" ref="F10:F33" si="0">E10-$B$5</f>
        <v>3</v>
      </c>
      <c r="G10" s="31" t="s">
        <v>7</v>
      </c>
      <c r="H10" s="32" t="s">
        <v>15</v>
      </c>
      <c r="J10" s="6">
        <f t="shared" ref="J10:J33" si="1">A10</f>
        <v>1</v>
      </c>
      <c r="K10" s="22">
        <v>50</v>
      </c>
      <c r="L10" s="22">
        <f t="shared" ref="L10:L33" si="2">E10</f>
        <v>53</v>
      </c>
      <c r="M10" s="22">
        <v>43</v>
      </c>
      <c r="N10" s="22">
        <v>57</v>
      </c>
      <c r="O10" s="22">
        <v>40</v>
      </c>
      <c r="P10" s="22">
        <v>60</v>
      </c>
    </row>
    <row r="11" spans="1:16" ht="20.149999999999999" customHeight="1" x14ac:dyDescent="0.45">
      <c r="A11" s="29">
        <v>2</v>
      </c>
      <c r="B11" s="27">
        <v>44652</v>
      </c>
      <c r="C11" s="27" t="s">
        <v>49</v>
      </c>
      <c r="D11" s="29" t="s">
        <v>25</v>
      </c>
      <c r="E11" s="30">
        <v>53</v>
      </c>
      <c r="F11" s="30">
        <f t="shared" si="0"/>
        <v>3</v>
      </c>
      <c r="G11" s="31" t="s">
        <v>7</v>
      </c>
      <c r="H11" s="32" t="s">
        <v>15</v>
      </c>
      <c r="J11" s="6">
        <f t="shared" si="1"/>
        <v>2</v>
      </c>
      <c r="K11" s="22">
        <v>50</v>
      </c>
      <c r="L11" s="22">
        <f t="shared" si="2"/>
        <v>53</v>
      </c>
      <c r="M11" s="22">
        <v>43</v>
      </c>
      <c r="N11" s="22">
        <v>57</v>
      </c>
      <c r="O11" s="22">
        <v>40</v>
      </c>
      <c r="P11" s="22">
        <v>60</v>
      </c>
    </row>
    <row r="12" spans="1:16" ht="20.149999999999999" customHeight="1" x14ac:dyDescent="0.45">
      <c r="A12" s="29">
        <v>3</v>
      </c>
      <c r="B12" s="27">
        <v>44653</v>
      </c>
      <c r="C12" s="27" t="s">
        <v>50</v>
      </c>
      <c r="D12" s="29" t="s">
        <v>24</v>
      </c>
      <c r="E12" s="30">
        <v>50</v>
      </c>
      <c r="F12" s="30">
        <f t="shared" si="0"/>
        <v>0</v>
      </c>
      <c r="G12" s="31" t="s">
        <v>7</v>
      </c>
      <c r="H12" s="32" t="s">
        <v>15</v>
      </c>
      <c r="J12" s="6">
        <f t="shared" si="1"/>
        <v>3</v>
      </c>
      <c r="K12" s="22">
        <v>50</v>
      </c>
      <c r="L12" s="22">
        <f t="shared" si="2"/>
        <v>50</v>
      </c>
      <c r="M12" s="22">
        <v>43</v>
      </c>
      <c r="N12" s="22">
        <v>57</v>
      </c>
      <c r="O12" s="22">
        <v>40</v>
      </c>
      <c r="P12" s="22">
        <v>60</v>
      </c>
    </row>
    <row r="13" spans="1:16" ht="20.149999999999999" customHeight="1" x14ac:dyDescent="0.45">
      <c r="A13" s="29">
        <v>4</v>
      </c>
      <c r="B13" s="27">
        <v>44653</v>
      </c>
      <c r="C13" s="27" t="s">
        <v>50</v>
      </c>
      <c r="D13" s="29" t="s">
        <v>25</v>
      </c>
      <c r="E13" s="30">
        <v>50</v>
      </c>
      <c r="F13" s="30">
        <f t="shared" si="0"/>
        <v>0</v>
      </c>
      <c r="G13" s="31" t="s">
        <v>7</v>
      </c>
      <c r="H13" s="32" t="s">
        <v>15</v>
      </c>
      <c r="J13" s="6">
        <f t="shared" si="1"/>
        <v>4</v>
      </c>
      <c r="K13" s="22">
        <v>50</v>
      </c>
      <c r="L13" s="22">
        <f t="shared" si="2"/>
        <v>50</v>
      </c>
      <c r="M13" s="22">
        <v>43</v>
      </c>
      <c r="N13" s="22">
        <v>57</v>
      </c>
      <c r="O13" s="22">
        <v>40</v>
      </c>
      <c r="P13" s="22">
        <v>60</v>
      </c>
    </row>
    <row r="14" spans="1:16" ht="20.149999999999999" customHeight="1" x14ac:dyDescent="0.45">
      <c r="A14" s="29">
        <v>5</v>
      </c>
      <c r="B14" s="27">
        <v>44655</v>
      </c>
      <c r="C14" s="27" t="s">
        <v>51</v>
      </c>
      <c r="D14" s="29" t="s">
        <v>24</v>
      </c>
      <c r="E14" s="30">
        <v>48</v>
      </c>
      <c r="F14" s="30">
        <f t="shared" si="0"/>
        <v>-2</v>
      </c>
      <c r="G14" s="31" t="s">
        <v>7</v>
      </c>
      <c r="H14" s="32" t="s">
        <v>15</v>
      </c>
      <c r="J14" s="6">
        <f t="shared" si="1"/>
        <v>5</v>
      </c>
      <c r="K14" s="22">
        <v>50</v>
      </c>
      <c r="L14" s="22">
        <f t="shared" si="2"/>
        <v>48</v>
      </c>
      <c r="M14" s="22">
        <v>43</v>
      </c>
      <c r="N14" s="22">
        <v>57</v>
      </c>
      <c r="O14" s="22">
        <v>40</v>
      </c>
      <c r="P14" s="22">
        <v>60</v>
      </c>
    </row>
    <row r="15" spans="1:16" ht="20.149999999999999" customHeight="1" x14ac:dyDescent="0.45">
      <c r="A15" s="29">
        <v>6</v>
      </c>
      <c r="B15" s="27">
        <v>44655</v>
      </c>
      <c r="C15" s="27" t="s">
        <v>41</v>
      </c>
      <c r="D15" s="29" t="s">
        <v>25</v>
      </c>
      <c r="E15" s="30">
        <v>48</v>
      </c>
      <c r="F15" s="30">
        <f t="shared" si="0"/>
        <v>-2</v>
      </c>
      <c r="G15" s="31" t="s">
        <v>7</v>
      </c>
      <c r="H15" s="32" t="s">
        <v>15</v>
      </c>
      <c r="J15" s="6">
        <f t="shared" si="1"/>
        <v>6</v>
      </c>
      <c r="K15" s="22">
        <v>50</v>
      </c>
      <c r="L15" s="22">
        <f t="shared" si="2"/>
        <v>48</v>
      </c>
      <c r="M15" s="22">
        <v>43</v>
      </c>
      <c r="N15" s="22">
        <v>57</v>
      </c>
      <c r="O15" s="22">
        <v>40</v>
      </c>
      <c r="P15" s="22">
        <v>60</v>
      </c>
    </row>
    <row r="16" spans="1:16" ht="20.149999999999999" customHeight="1" x14ac:dyDescent="0.45">
      <c r="A16" s="29">
        <v>7</v>
      </c>
      <c r="B16" s="27">
        <v>44656</v>
      </c>
      <c r="C16" s="27" t="s">
        <v>52</v>
      </c>
      <c r="D16" s="29" t="s">
        <v>24</v>
      </c>
      <c r="E16" s="30">
        <v>49</v>
      </c>
      <c r="F16" s="30">
        <f t="shared" si="0"/>
        <v>-1</v>
      </c>
      <c r="G16" s="31" t="s">
        <v>7</v>
      </c>
      <c r="H16" s="32" t="s">
        <v>15</v>
      </c>
      <c r="J16" s="6">
        <f t="shared" si="1"/>
        <v>7</v>
      </c>
      <c r="K16" s="22">
        <v>50</v>
      </c>
      <c r="L16" s="22">
        <f t="shared" si="2"/>
        <v>49</v>
      </c>
      <c r="M16" s="22">
        <v>43</v>
      </c>
      <c r="N16" s="22">
        <v>57</v>
      </c>
      <c r="O16" s="22">
        <v>40</v>
      </c>
      <c r="P16" s="22">
        <v>60</v>
      </c>
    </row>
    <row r="17" spans="1:16" ht="20.149999999999999" customHeight="1" x14ac:dyDescent="0.45">
      <c r="A17" s="29">
        <v>8</v>
      </c>
      <c r="B17" s="27">
        <v>44656</v>
      </c>
      <c r="C17" s="27" t="s">
        <v>52</v>
      </c>
      <c r="D17" s="29" t="s">
        <v>25</v>
      </c>
      <c r="E17" s="30">
        <v>49</v>
      </c>
      <c r="F17" s="30">
        <f t="shared" si="0"/>
        <v>-1</v>
      </c>
      <c r="G17" s="31" t="s">
        <v>7</v>
      </c>
      <c r="H17" s="32" t="s">
        <v>15</v>
      </c>
      <c r="J17" s="6">
        <f t="shared" si="1"/>
        <v>8</v>
      </c>
      <c r="K17" s="22">
        <v>50</v>
      </c>
      <c r="L17" s="22">
        <f t="shared" si="2"/>
        <v>49</v>
      </c>
      <c r="M17" s="22">
        <v>43</v>
      </c>
      <c r="N17" s="22">
        <v>57</v>
      </c>
      <c r="O17" s="22">
        <v>40</v>
      </c>
      <c r="P17" s="22">
        <v>60</v>
      </c>
    </row>
    <row r="18" spans="1:16" ht="20.149999999999999" customHeight="1" x14ac:dyDescent="0.45">
      <c r="A18" s="29">
        <v>9</v>
      </c>
      <c r="B18" s="27">
        <v>44657</v>
      </c>
      <c r="C18" s="27" t="s">
        <v>53</v>
      </c>
      <c r="D18" s="29" t="s">
        <v>24</v>
      </c>
      <c r="E18" s="30">
        <v>50</v>
      </c>
      <c r="F18" s="30">
        <f t="shared" si="0"/>
        <v>0</v>
      </c>
      <c r="G18" s="31" t="s">
        <v>7</v>
      </c>
      <c r="H18" s="32" t="s">
        <v>15</v>
      </c>
      <c r="J18" s="6">
        <f t="shared" si="1"/>
        <v>9</v>
      </c>
      <c r="K18" s="22">
        <v>50</v>
      </c>
      <c r="L18" s="22">
        <f t="shared" si="2"/>
        <v>50</v>
      </c>
      <c r="M18" s="22">
        <v>43</v>
      </c>
      <c r="N18" s="22">
        <v>57</v>
      </c>
      <c r="O18" s="22">
        <v>40</v>
      </c>
      <c r="P18" s="22">
        <v>60</v>
      </c>
    </row>
    <row r="19" spans="1:16" ht="20.149999999999999" customHeight="1" x14ac:dyDescent="0.45">
      <c r="A19" s="29">
        <v>10</v>
      </c>
      <c r="B19" s="27">
        <v>44657</v>
      </c>
      <c r="C19" s="27" t="s">
        <v>53</v>
      </c>
      <c r="D19" s="29" t="s">
        <v>25</v>
      </c>
      <c r="E19" s="30">
        <v>50</v>
      </c>
      <c r="F19" s="30">
        <f t="shared" si="0"/>
        <v>0</v>
      </c>
      <c r="G19" s="31" t="s">
        <v>7</v>
      </c>
      <c r="H19" s="32" t="s">
        <v>15</v>
      </c>
      <c r="J19" s="6">
        <f t="shared" si="1"/>
        <v>10</v>
      </c>
      <c r="K19" s="22">
        <v>50</v>
      </c>
      <c r="L19" s="22">
        <f t="shared" si="2"/>
        <v>50</v>
      </c>
      <c r="M19" s="22">
        <v>43</v>
      </c>
      <c r="N19" s="22">
        <v>57</v>
      </c>
      <c r="O19" s="22">
        <v>40</v>
      </c>
      <c r="P19" s="22">
        <v>60</v>
      </c>
    </row>
    <row r="20" spans="1:16" ht="23.25" customHeight="1" x14ac:dyDescent="0.45">
      <c r="A20" s="29">
        <v>11</v>
      </c>
      <c r="B20" s="27">
        <v>44658</v>
      </c>
      <c r="C20" s="27" t="s">
        <v>54</v>
      </c>
      <c r="D20" s="29" t="s">
        <v>24</v>
      </c>
      <c r="E20" s="30">
        <v>48</v>
      </c>
      <c r="F20" s="30">
        <f t="shared" si="0"/>
        <v>-2</v>
      </c>
      <c r="G20" s="31" t="s">
        <v>7</v>
      </c>
      <c r="H20" s="32" t="s">
        <v>15</v>
      </c>
      <c r="J20" s="6">
        <f t="shared" si="1"/>
        <v>11</v>
      </c>
      <c r="K20" s="22">
        <v>50</v>
      </c>
      <c r="L20" s="22">
        <f t="shared" si="2"/>
        <v>48</v>
      </c>
      <c r="M20" s="22">
        <v>43</v>
      </c>
      <c r="N20" s="22">
        <v>57</v>
      </c>
      <c r="O20" s="22">
        <v>40</v>
      </c>
      <c r="P20" s="22">
        <v>60</v>
      </c>
    </row>
    <row r="21" spans="1:16" ht="23.25" customHeight="1" x14ac:dyDescent="0.45">
      <c r="A21" s="29">
        <v>12</v>
      </c>
      <c r="B21" s="27">
        <v>44658</v>
      </c>
      <c r="C21" s="27" t="s">
        <v>54</v>
      </c>
      <c r="D21" s="29" t="s">
        <v>46</v>
      </c>
      <c r="E21" s="30">
        <v>48</v>
      </c>
      <c r="F21" s="30">
        <f t="shared" si="0"/>
        <v>-2</v>
      </c>
      <c r="G21" s="31" t="s">
        <v>7</v>
      </c>
      <c r="H21" s="32" t="s">
        <v>15</v>
      </c>
      <c r="J21" s="6">
        <f t="shared" si="1"/>
        <v>12</v>
      </c>
      <c r="K21" s="22">
        <v>50</v>
      </c>
      <c r="L21" s="22">
        <f t="shared" si="2"/>
        <v>48</v>
      </c>
      <c r="M21" s="22">
        <v>43</v>
      </c>
      <c r="N21" s="22">
        <v>57</v>
      </c>
      <c r="O21" s="22">
        <v>40</v>
      </c>
      <c r="P21" s="22">
        <v>60</v>
      </c>
    </row>
    <row r="22" spans="1:16" ht="20.149999999999999" customHeight="1" x14ac:dyDescent="0.45">
      <c r="A22" s="29">
        <v>13</v>
      </c>
      <c r="B22" s="27">
        <v>44659</v>
      </c>
      <c r="C22" s="27" t="s">
        <v>55</v>
      </c>
      <c r="D22" s="29" t="s">
        <v>24</v>
      </c>
      <c r="E22" s="30">
        <v>49</v>
      </c>
      <c r="F22" s="30">
        <f t="shared" si="0"/>
        <v>-1</v>
      </c>
      <c r="G22" s="31" t="s">
        <v>7</v>
      </c>
      <c r="H22" s="32" t="s">
        <v>15</v>
      </c>
      <c r="J22" s="6">
        <f t="shared" si="1"/>
        <v>13</v>
      </c>
      <c r="K22" s="22">
        <v>50</v>
      </c>
      <c r="L22" s="22">
        <f t="shared" si="2"/>
        <v>49</v>
      </c>
      <c r="M22" s="22">
        <v>43</v>
      </c>
      <c r="N22" s="22">
        <v>57</v>
      </c>
      <c r="O22" s="22">
        <v>40</v>
      </c>
      <c r="P22" s="22">
        <v>60</v>
      </c>
    </row>
    <row r="23" spans="1:16" ht="20.149999999999999" customHeight="1" x14ac:dyDescent="0.45">
      <c r="A23" s="29">
        <v>14</v>
      </c>
      <c r="B23" s="27">
        <v>44659</v>
      </c>
      <c r="C23" s="27" t="s">
        <v>55</v>
      </c>
      <c r="D23" s="29" t="s">
        <v>25</v>
      </c>
      <c r="E23" s="30">
        <v>49</v>
      </c>
      <c r="F23" s="30">
        <f t="shared" si="0"/>
        <v>-1</v>
      </c>
      <c r="G23" s="31" t="s">
        <v>7</v>
      </c>
      <c r="H23" s="32" t="s">
        <v>15</v>
      </c>
      <c r="J23" s="6">
        <f t="shared" si="1"/>
        <v>14</v>
      </c>
      <c r="K23" s="22">
        <v>50</v>
      </c>
      <c r="L23" s="22">
        <f t="shared" si="2"/>
        <v>49</v>
      </c>
      <c r="M23" s="22">
        <v>43</v>
      </c>
      <c r="N23" s="22">
        <v>57</v>
      </c>
      <c r="O23" s="22">
        <v>40</v>
      </c>
      <c r="P23" s="22">
        <v>60</v>
      </c>
    </row>
    <row r="24" spans="1:16" ht="20.149999999999999" customHeight="1" x14ac:dyDescent="0.45">
      <c r="A24" s="29">
        <v>15</v>
      </c>
      <c r="B24" s="27">
        <v>44660</v>
      </c>
      <c r="C24" s="27" t="s">
        <v>50</v>
      </c>
      <c r="D24" s="29" t="s">
        <v>24</v>
      </c>
      <c r="E24" s="30">
        <v>52</v>
      </c>
      <c r="F24" s="30">
        <f t="shared" si="0"/>
        <v>2</v>
      </c>
      <c r="G24" s="31" t="s">
        <v>7</v>
      </c>
      <c r="H24" s="32" t="s">
        <v>15</v>
      </c>
      <c r="J24" s="6">
        <f t="shared" si="1"/>
        <v>15</v>
      </c>
      <c r="K24" s="22">
        <v>50</v>
      </c>
      <c r="L24" s="22">
        <f t="shared" si="2"/>
        <v>52</v>
      </c>
      <c r="M24" s="22">
        <v>43</v>
      </c>
      <c r="N24" s="22">
        <v>57</v>
      </c>
      <c r="O24" s="22">
        <v>40</v>
      </c>
      <c r="P24" s="22">
        <v>60</v>
      </c>
    </row>
    <row r="25" spans="1:16" ht="20.149999999999999" customHeight="1" x14ac:dyDescent="0.45">
      <c r="A25" s="29">
        <v>16</v>
      </c>
      <c r="B25" s="27">
        <v>44660</v>
      </c>
      <c r="C25" s="27" t="s">
        <v>50</v>
      </c>
      <c r="D25" s="29" t="s">
        <v>25</v>
      </c>
      <c r="E25" s="30">
        <v>52</v>
      </c>
      <c r="F25" s="30">
        <f t="shared" si="0"/>
        <v>2</v>
      </c>
      <c r="G25" s="31" t="s">
        <v>7</v>
      </c>
      <c r="H25" s="32" t="s">
        <v>15</v>
      </c>
      <c r="J25" s="6">
        <f t="shared" si="1"/>
        <v>16</v>
      </c>
      <c r="K25" s="22">
        <v>50</v>
      </c>
      <c r="L25" s="22">
        <f t="shared" si="2"/>
        <v>52</v>
      </c>
      <c r="M25" s="22">
        <v>43</v>
      </c>
      <c r="N25" s="22">
        <v>57</v>
      </c>
      <c r="O25" s="22">
        <v>40</v>
      </c>
      <c r="P25" s="22">
        <v>60</v>
      </c>
    </row>
    <row r="26" spans="1:16" ht="20.149999999999999" customHeight="1" x14ac:dyDescent="0.45">
      <c r="A26" s="29">
        <v>17</v>
      </c>
      <c r="B26" s="27">
        <v>44662</v>
      </c>
      <c r="C26" s="27" t="s">
        <v>51</v>
      </c>
      <c r="D26" s="29" t="s">
        <v>24</v>
      </c>
      <c r="E26" s="30">
        <v>51</v>
      </c>
      <c r="F26" s="30">
        <f t="shared" si="0"/>
        <v>1</v>
      </c>
      <c r="G26" s="31" t="s">
        <v>7</v>
      </c>
      <c r="H26" s="32" t="s">
        <v>15</v>
      </c>
      <c r="J26" s="6">
        <f t="shared" si="1"/>
        <v>17</v>
      </c>
      <c r="K26" s="22">
        <v>50</v>
      </c>
      <c r="L26" s="22">
        <f t="shared" si="2"/>
        <v>51</v>
      </c>
      <c r="M26" s="22">
        <v>43</v>
      </c>
      <c r="N26" s="22">
        <v>57</v>
      </c>
      <c r="O26" s="22">
        <v>40</v>
      </c>
      <c r="P26" s="22">
        <v>60</v>
      </c>
    </row>
    <row r="27" spans="1:16" ht="20.149999999999999" customHeight="1" x14ac:dyDescent="0.45">
      <c r="A27" s="29">
        <v>18</v>
      </c>
      <c r="B27" s="27">
        <v>44662</v>
      </c>
      <c r="C27" s="27" t="s">
        <v>51</v>
      </c>
      <c r="D27" s="29" t="s">
        <v>25</v>
      </c>
      <c r="E27" s="30">
        <v>51</v>
      </c>
      <c r="F27" s="30">
        <f t="shared" si="0"/>
        <v>1</v>
      </c>
      <c r="G27" s="31" t="s">
        <v>7</v>
      </c>
      <c r="H27" s="32" t="s">
        <v>15</v>
      </c>
      <c r="J27" s="6">
        <f t="shared" si="1"/>
        <v>18</v>
      </c>
      <c r="K27" s="22">
        <v>50</v>
      </c>
      <c r="L27" s="22">
        <f t="shared" si="2"/>
        <v>51</v>
      </c>
      <c r="M27" s="22">
        <v>43</v>
      </c>
      <c r="N27" s="22">
        <v>57</v>
      </c>
      <c r="O27" s="22">
        <v>40</v>
      </c>
      <c r="P27" s="22">
        <v>60</v>
      </c>
    </row>
    <row r="28" spans="1:16" ht="20.149999999999999" customHeight="1" x14ac:dyDescent="0.45">
      <c r="A28" s="29">
        <v>19</v>
      </c>
      <c r="B28" s="27">
        <v>44663</v>
      </c>
      <c r="C28" s="27" t="s">
        <v>52</v>
      </c>
      <c r="D28" s="29" t="s">
        <v>24</v>
      </c>
      <c r="E28" s="30">
        <v>52</v>
      </c>
      <c r="F28" s="30">
        <f t="shared" si="0"/>
        <v>2</v>
      </c>
      <c r="G28" s="31" t="s">
        <v>7</v>
      </c>
      <c r="H28" s="32" t="s">
        <v>15</v>
      </c>
      <c r="J28" s="6">
        <f t="shared" si="1"/>
        <v>19</v>
      </c>
      <c r="K28" s="22">
        <v>50</v>
      </c>
      <c r="L28" s="22">
        <f t="shared" si="2"/>
        <v>52</v>
      </c>
      <c r="M28" s="22">
        <v>43</v>
      </c>
      <c r="N28" s="22">
        <v>57</v>
      </c>
      <c r="O28" s="22">
        <v>40</v>
      </c>
      <c r="P28" s="22">
        <v>60</v>
      </c>
    </row>
    <row r="29" spans="1:16" ht="20.149999999999999" customHeight="1" x14ac:dyDescent="0.45">
      <c r="A29" s="29">
        <v>20</v>
      </c>
      <c r="B29" s="27">
        <v>44663</v>
      </c>
      <c r="C29" s="27" t="s">
        <v>52</v>
      </c>
      <c r="D29" s="29" t="s">
        <v>25</v>
      </c>
      <c r="E29" s="30">
        <v>52</v>
      </c>
      <c r="F29" s="30">
        <f t="shared" si="0"/>
        <v>2</v>
      </c>
      <c r="G29" s="31" t="s">
        <v>7</v>
      </c>
      <c r="H29" s="32" t="s">
        <v>15</v>
      </c>
      <c r="J29" s="6">
        <f t="shared" si="1"/>
        <v>20</v>
      </c>
      <c r="K29" s="22">
        <v>50</v>
      </c>
      <c r="L29" s="22">
        <f t="shared" si="2"/>
        <v>52</v>
      </c>
      <c r="M29" s="22">
        <v>43</v>
      </c>
      <c r="N29" s="22">
        <v>57</v>
      </c>
      <c r="O29" s="22">
        <v>40</v>
      </c>
      <c r="P29" s="22">
        <v>60</v>
      </c>
    </row>
    <row r="30" spans="1:16" ht="20.149999999999999" customHeight="1" x14ac:dyDescent="0.45">
      <c r="A30" s="29">
        <v>21</v>
      </c>
      <c r="B30" s="27">
        <v>44664</v>
      </c>
      <c r="C30" s="27" t="s">
        <v>53</v>
      </c>
      <c r="D30" s="29" t="s">
        <v>24</v>
      </c>
      <c r="E30" s="30">
        <v>53</v>
      </c>
      <c r="F30" s="30">
        <f t="shared" si="0"/>
        <v>3</v>
      </c>
      <c r="G30" s="31" t="s">
        <v>7</v>
      </c>
      <c r="H30" s="32" t="s">
        <v>15</v>
      </c>
      <c r="J30" s="6">
        <f t="shared" si="1"/>
        <v>21</v>
      </c>
      <c r="K30" s="22">
        <v>50</v>
      </c>
      <c r="L30" s="22">
        <f t="shared" si="2"/>
        <v>53</v>
      </c>
      <c r="M30" s="22">
        <v>43</v>
      </c>
      <c r="N30" s="22">
        <v>57</v>
      </c>
      <c r="O30" s="22">
        <v>40</v>
      </c>
      <c r="P30" s="22">
        <v>60</v>
      </c>
    </row>
    <row r="31" spans="1:16" ht="20.149999999999999" customHeight="1" x14ac:dyDescent="0.45">
      <c r="A31" s="29">
        <v>22</v>
      </c>
      <c r="B31" s="27">
        <v>44664</v>
      </c>
      <c r="C31" s="27" t="s">
        <v>53</v>
      </c>
      <c r="D31" s="29" t="s">
        <v>25</v>
      </c>
      <c r="E31" s="30">
        <v>53</v>
      </c>
      <c r="F31" s="30">
        <f t="shared" si="0"/>
        <v>3</v>
      </c>
      <c r="G31" s="31" t="s">
        <v>7</v>
      </c>
      <c r="H31" s="32" t="s">
        <v>15</v>
      </c>
      <c r="J31" s="6">
        <f t="shared" si="1"/>
        <v>22</v>
      </c>
      <c r="K31" s="22">
        <v>50</v>
      </c>
      <c r="L31" s="22">
        <f t="shared" si="2"/>
        <v>53</v>
      </c>
      <c r="M31" s="22">
        <v>43</v>
      </c>
      <c r="N31" s="22">
        <v>57</v>
      </c>
      <c r="O31" s="22">
        <v>40</v>
      </c>
      <c r="P31" s="22">
        <v>60</v>
      </c>
    </row>
    <row r="32" spans="1:16" ht="20.149999999999999" customHeight="1" x14ac:dyDescent="0.45">
      <c r="A32" s="29">
        <v>23</v>
      </c>
      <c r="B32" s="27">
        <v>44665</v>
      </c>
      <c r="C32" s="27" t="s">
        <v>56</v>
      </c>
      <c r="D32" s="29" t="s">
        <v>24</v>
      </c>
      <c r="E32" s="30">
        <v>50</v>
      </c>
      <c r="F32" s="30">
        <f t="shared" si="0"/>
        <v>0</v>
      </c>
      <c r="G32" s="31" t="s">
        <v>7</v>
      </c>
      <c r="H32" s="32" t="s">
        <v>15</v>
      </c>
      <c r="J32" s="6">
        <f t="shared" si="1"/>
        <v>23</v>
      </c>
      <c r="K32" s="22">
        <v>50</v>
      </c>
      <c r="L32" s="22">
        <f t="shared" si="2"/>
        <v>50</v>
      </c>
      <c r="M32" s="22">
        <v>43</v>
      </c>
      <c r="N32" s="22">
        <v>57</v>
      </c>
      <c r="O32" s="22">
        <v>40</v>
      </c>
      <c r="P32" s="22">
        <v>60</v>
      </c>
    </row>
    <row r="33" spans="1:16" ht="20.149999999999999" customHeight="1" x14ac:dyDescent="0.45">
      <c r="A33" s="29">
        <v>24</v>
      </c>
      <c r="B33" s="27">
        <v>44665</v>
      </c>
      <c r="C33" s="27" t="s">
        <v>56</v>
      </c>
      <c r="D33" s="29" t="s">
        <v>25</v>
      </c>
      <c r="E33" s="30">
        <v>50</v>
      </c>
      <c r="F33" s="30">
        <f t="shared" si="0"/>
        <v>0</v>
      </c>
      <c r="G33" s="31" t="s">
        <v>7</v>
      </c>
      <c r="H33" s="32" t="s">
        <v>15</v>
      </c>
      <c r="J33" s="6">
        <f t="shared" si="1"/>
        <v>24</v>
      </c>
      <c r="K33" s="22">
        <v>50</v>
      </c>
      <c r="L33" s="22">
        <f t="shared" si="2"/>
        <v>50</v>
      </c>
      <c r="M33" s="22">
        <v>43</v>
      </c>
      <c r="N33" s="22">
        <v>57</v>
      </c>
      <c r="O33" s="22">
        <v>40</v>
      </c>
      <c r="P33" s="22">
        <v>60</v>
      </c>
    </row>
    <row r="34" spans="1:16" ht="20.149999999999999" customHeight="1" x14ac:dyDescent="0.45">
      <c r="A34" s="29">
        <v>25</v>
      </c>
      <c r="B34" s="27">
        <v>44666</v>
      </c>
      <c r="C34" s="27" t="s">
        <v>55</v>
      </c>
      <c r="D34" s="29" t="s">
        <v>24</v>
      </c>
      <c r="E34" s="30">
        <v>49</v>
      </c>
      <c r="F34" s="30">
        <f t="shared" ref="F34:F35" si="3">E34-$B$5</f>
        <v>-1</v>
      </c>
      <c r="G34" s="31" t="s">
        <v>7</v>
      </c>
      <c r="H34" s="32" t="s">
        <v>15</v>
      </c>
      <c r="J34" s="6">
        <f t="shared" ref="J34:J35" si="4">A34</f>
        <v>25</v>
      </c>
      <c r="K34" s="22">
        <v>50</v>
      </c>
      <c r="L34" s="22">
        <f t="shared" ref="L34:L35" si="5">E34</f>
        <v>49</v>
      </c>
      <c r="M34" s="22">
        <v>43</v>
      </c>
      <c r="N34" s="22">
        <v>57</v>
      </c>
      <c r="O34" s="22">
        <v>40</v>
      </c>
      <c r="P34" s="22">
        <v>60</v>
      </c>
    </row>
    <row r="35" spans="1:16" ht="20.149999999999999" customHeight="1" x14ac:dyDescent="0.45">
      <c r="A35" s="29">
        <v>26</v>
      </c>
      <c r="B35" s="27">
        <v>44666</v>
      </c>
      <c r="C35" s="27" t="s">
        <v>55</v>
      </c>
      <c r="D35" s="29" t="s">
        <v>25</v>
      </c>
      <c r="E35" s="30">
        <v>49</v>
      </c>
      <c r="F35" s="30">
        <f t="shared" si="3"/>
        <v>-1</v>
      </c>
      <c r="G35" s="31" t="s">
        <v>7</v>
      </c>
      <c r="H35" s="32" t="s">
        <v>15</v>
      </c>
      <c r="J35" s="6">
        <f t="shared" si="4"/>
        <v>26</v>
      </c>
      <c r="K35" s="22">
        <v>50</v>
      </c>
      <c r="L35" s="22">
        <f t="shared" si="5"/>
        <v>49</v>
      </c>
      <c r="M35" s="22">
        <v>43</v>
      </c>
      <c r="N35" s="22">
        <v>57</v>
      </c>
      <c r="O35" s="22">
        <v>40</v>
      </c>
      <c r="P35" s="22">
        <v>60</v>
      </c>
    </row>
    <row r="36" spans="1:16" ht="20.149999999999999" customHeight="1" x14ac:dyDescent="0.45">
      <c r="A36" s="27" t="s">
        <v>47</v>
      </c>
      <c r="B36" s="50">
        <f>AVERAGE(E10:E35)</f>
        <v>50.307692307692307</v>
      </c>
      <c r="C36" s="27" t="s">
        <v>57</v>
      </c>
      <c r="D36" s="49">
        <v>54</v>
      </c>
      <c r="E36" s="30" t="s">
        <v>48</v>
      </c>
      <c r="F36" s="49">
        <v>48</v>
      </c>
      <c r="G36" s="49"/>
      <c r="H36" s="32" t="s">
        <v>15</v>
      </c>
      <c r="K36" s="22"/>
      <c r="L36" s="22"/>
      <c r="M36" s="22"/>
      <c r="N36" s="22"/>
      <c r="O36" s="22"/>
      <c r="P36" s="22"/>
    </row>
    <row r="37" spans="1:16" ht="62.25" customHeight="1" x14ac:dyDescent="0.45">
      <c r="A37" s="33" t="s">
        <v>8</v>
      </c>
      <c r="B37" s="34"/>
      <c r="C37" s="34"/>
      <c r="D37" s="35"/>
      <c r="E37" s="35"/>
      <c r="F37" s="35"/>
      <c r="G37" s="35"/>
      <c r="H37" s="35"/>
    </row>
    <row r="38" spans="1:16" ht="20.149999999999999" customHeight="1" x14ac:dyDescent="0.45">
      <c r="A38" s="34"/>
      <c r="B38" s="34"/>
      <c r="C38" s="34"/>
      <c r="D38" s="36" t="s">
        <v>1</v>
      </c>
      <c r="E38" s="36"/>
      <c r="F38" s="34"/>
      <c r="G38" s="36" t="s">
        <v>2</v>
      </c>
      <c r="H38" s="36" t="s">
        <v>3</v>
      </c>
    </row>
    <row r="39" spans="1:16" ht="27" customHeight="1" x14ac:dyDescent="0.45">
      <c r="A39" s="34"/>
      <c r="C39" s="34"/>
      <c r="D39" s="36"/>
      <c r="E39" s="36"/>
      <c r="F39" s="34"/>
      <c r="G39" s="36"/>
      <c r="H39" s="36"/>
    </row>
    <row r="40" spans="1:16" ht="62.25" customHeight="1" x14ac:dyDescent="0.45">
      <c r="A40" s="23" t="s">
        <v>14</v>
      </c>
      <c r="F40" s="24"/>
    </row>
    <row r="41" spans="1:16" x14ac:dyDescent="0.45">
      <c r="D41" s="25" t="s">
        <v>1</v>
      </c>
      <c r="E41" s="25"/>
      <c r="G41" s="25" t="s">
        <v>2</v>
      </c>
      <c r="H41" s="25" t="s">
        <v>3</v>
      </c>
    </row>
    <row r="42" spans="1:16" ht="31.5" customHeight="1" x14ac:dyDescent="0.45">
      <c r="D42" s="10"/>
      <c r="E42" s="10"/>
      <c r="G42" s="10"/>
      <c r="H42" s="10"/>
    </row>
    <row r="43" spans="1:16" ht="31.5" customHeight="1" x14ac:dyDescent="0.45">
      <c r="A43" s="23"/>
      <c r="D43" s="24"/>
      <c r="E43" s="24"/>
      <c r="F43" s="24"/>
      <c r="G43" s="24"/>
      <c r="H43" s="24"/>
    </row>
    <row r="44" spans="1:16" ht="65.25" customHeight="1" x14ac:dyDescent="0.45">
      <c r="A44" s="23"/>
      <c r="D44" s="24"/>
      <c r="E44" s="24"/>
      <c r="F44" s="24"/>
      <c r="G44" s="24"/>
      <c r="H44" s="24"/>
    </row>
    <row r="45" spans="1:16" ht="74.25" customHeight="1" x14ac:dyDescent="0.45">
      <c r="D45" s="24"/>
      <c r="E45" s="24"/>
      <c r="F45" s="24"/>
      <c r="G45" s="24"/>
      <c r="H45" s="24"/>
    </row>
    <row r="46" spans="1:16" ht="65.25" customHeight="1" x14ac:dyDescent="0.45">
      <c r="D46" s="24"/>
      <c r="E46" s="24"/>
      <c r="F46" s="24"/>
    </row>
    <row r="47" spans="1:16" ht="16.5" thickBot="1" x14ac:dyDescent="0.5">
      <c r="G47" s="25" t="s">
        <v>2</v>
      </c>
      <c r="H47" s="25" t="s">
        <v>3</v>
      </c>
    </row>
    <row r="48" spans="1:16" x14ac:dyDescent="0.45">
      <c r="B48" s="44" t="s">
        <v>43</v>
      </c>
    </row>
    <row r="49" spans="1:8" s="42" customFormat="1" ht="16.5" thickBot="1" x14ac:dyDescent="0.5">
      <c r="B49" s="6"/>
    </row>
    <row r="50" spans="1:8" s="42" customFormat="1" x14ac:dyDescent="0.45">
      <c r="A50" s="43" t="s">
        <v>42</v>
      </c>
      <c r="B50" s="6"/>
      <c r="C50" s="44"/>
      <c r="D50" s="45" t="s">
        <v>44</v>
      </c>
      <c r="E50" s="44">
        <v>0</v>
      </c>
      <c r="F50" s="45" t="s">
        <v>45</v>
      </c>
      <c r="G50" s="46">
        <v>43836</v>
      </c>
      <c r="H50" s="47" t="s">
        <v>0</v>
      </c>
    </row>
  </sheetData>
  <mergeCells count="1">
    <mergeCell ref="D1:F1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view="pageBreakPreview" zoomScaleNormal="100" zoomScaleSheetLayoutView="100" workbookViewId="0">
      <selection activeCell="G3" sqref="G3"/>
    </sheetView>
  </sheetViews>
  <sheetFormatPr defaultColWidth="9.1796875" defaultRowHeight="16" x14ac:dyDescent="0.45"/>
  <cols>
    <col min="1" max="1" width="17.26953125" style="6" customWidth="1"/>
    <col min="2" max="2" width="15.81640625" style="6" customWidth="1"/>
    <col min="3" max="3" width="15.54296875" style="6" customWidth="1"/>
    <col min="4" max="4" width="16.453125" style="6" customWidth="1"/>
    <col min="5" max="5" width="16.54296875" style="6" customWidth="1"/>
    <col min="6" max="6" width="16.453125" style="6" customWidth="1"/>
    <col min="7" max="7" width="17.7265625" style="6" customWidth="1"/>
    <col min="8" max="8" width="15.453125" style="6" customWidth="1"/>
    <col min="9" max="9" width="16.1796875" style="6" customWidth="1"/>
    <col min="10" max="16384" width="9.1796875" style="6"/>
  </cols>
  <sheetData>
    <row r="1" spans="1:16" s="42" customFormat="1" ht="21" customHeight="1" x14ac:dyDescent="0.45">
      <c r="A1" s="39"/>
      <c r="B1" s="51"/>
      <c r="C1" s="51"/>
      <c r="D1" s="53" t="s">
        <v>4</v>
      </c>
      <c r="E1" s="53"/>
      <c r="F1" s="53"/>
      <c r="G1" s="40"/>
      <c r="H1" s="41"/>
    </row>
    <row r="2" spans="1:16" x14ac:dyDescent="0.45">
      <c r="A2" s="8"/>
      <c r="B2" s="9"/>
      <c r="C2" s="9"/>
      <c r="D2" s="10"/>
      <c r="E2" s="10"/>
      <c r="F2" s="10"/>
    </row>
    <row r="3" spans="1:16" ht="19.5" customHeight="1" x14ac:dyDescent="0.45">
      <c r="A3" s="11" t="s">
        <v>5</v>
      </c>
      <c r="B3" s="5" t="s">
        <v>58</v>
      </c>
      <c r="C3" s="7"/>
      <c r="D3" s="12"/>
      <c r="E3" s="13" t="s">
        <v>19</v>
      </c>
      <c r="F3" s="5"/>
      <c r="G3" s="14" t="s">
        <v>60</v>
      </c>
      <c r="H3" s="5"/>
    </row>
    <row r="4" spans="1:16" ht="21.75" customHeight="1" x14ac:dyDescent="0.45">
      <c r="A4" s="13" t="s">
        <v>16</v>
      </c>
      <c r="B4" s="5" t="s">
        <v>61</v>
      </c>
      <c r="C4" s="7"/>
      <c r="D4" s="16"/>
      <c r="E4" s="13" t="s">
        <v>17</v>
      </c>
      <c r="F4" s="5"/>
      <c r="G4" s="15" t="s">
        <v>21</v>
      </c>
      <c r="H4" s="5"/>
    </row>
    <row r="5" spans="1:16" x14ac:dyDescent="0.45">
      <c r="A5" s="13" t="s">
        <v>28</v>
      </c>
      <c r="B5" s="5">
        <v>50</v>
      </c>
      <c r="C5" s="7"/>
      <c r="D5" s="18"/>
      <c r="E5" s="13" t="s">
        <v>20</v>
      </c>
      <c r="F5" s="5"/>
      <c r="G5" s="19" t="s">
        <v>36</v>
      </c>
      <c r="H5" s="5"/>
    </row>
    <row r="6" spans="1:16" x14ac:dyDescent="0.45">
      <c r="A6" s="17" t="s">
        <v>29</v>
      </c>
      <c r="B6" s="5">
        <v>43</v>
      </c>
      <c r="C6" s="7"/>
      <c r="D6" s="20"/>
      <c r="E6" s="13" t="s">
        <v>31</v>
      </c>
      <c r="F6" s="5"/>
      <c r="G6" s="19">
        <v>57</v>
      </c>
      <c r="H6" s="5"/>
    </row>
    <row r="7" spans="1:16" x14ac:dyDescent="0.45">
      <c r="A7" s="17" t="s">
        <v>30</v>
      </c>
      <c r="B7" s="5">
        <v>40</v>
      </c>
      <c r="C7" s="7"/>
      <c r="D7" s="20"/>
      <c r="E7" s="13" t="s">
        <v>32</v>
      </c>
      <c r="F7" s="5"/>
      <c r="G7" s="19">
        <v>60</v>
      </c>
      <c r="H7" s="5"/>
    </row>
    <row r="8" spans="1:16" ht="339.75" customHeight="1" x14ac:dyDescent="0.45">
      <c r="D8" s="21"/>
      <c r="F8" s="21"/>
    </row>
    <row r="9" spans="1:16" ht="46.5" customHeight="1" x14ac:dyDescent="0.45">
      <c r="A9" s="1" t="s">
        <v>35</v>
      </c>
      <c r="B9" s="1" t="s">
        <v>3</v>
      </c>
      <c r="C9" s="1" t="s">
        <v>40</v>
      </c>
      <c r="D9" s="1" t="s">
        <v>23</v>
      </c>
      <c r="E9" s="1" t="s">
        <v>33</v>
      </c>
      <c r="F9" s="2" t="s">
        <v>34</v>
      </c>
      <c r="G9" s="26" t="s">
        <v>6</v>
      </c>
      <c r="H9" s="28" t="s">
        <v>22</v>
      </c>
      <c r="J9" s="3" t="s">
        <v>13</v>
      </c>
      <c r="K9" s="4" t="s">
        <v>26</v>
      </c>
      <c r="L9" s="4" t="s">
        <v>27</v>
      </c>
      <c r="M9" s="4" t="s">
        <v>9</v>
      </c>
      <c r="N9" s="4" t="s">
        <v>10</v>
      </c>
      <c r="O9" s="4" t="s">
        <v>11</v>
      </c>
      <c r="P9" s="4" t="s">
        <v>12</v>
      </c>
    </row>
    <row r="10" spans="1:16" ht="20.149999999999999" customHeight="1" x14ac:dyDescent="0.45">
      <c r="A10" s="29">
        <v>1</v>
      </c>
      <c r="B10" s="27">
        <v>44652</v>
      </c>
      <c r="C10" s="27" t="s">
        <v>49</v>
      </c>
      <c r="D10" s="29" t="s">
        <v>24</v>
      </c>
      <c r="E10" s="30">
        <v>49</v>
      </c>
      <c r="F10" s="30">
        <f t="shared" ref="F10:F16" si="0">E10-$B$5</f>
        <v>-1</v>
      </c>
      <c r="G10" s="31" t="s">
        <v>7</v>
      </c>
      <c r="H10" s="32" t="s">
        <v>15</v>
      </c>
      <c r="J10" s="6">
        <f t="shared" ref="J10:J25" si="1">A10</f>
        <v>1</v>
      </c>
      <c r="K10" s="22">
        <v>50</v>
      </c>
      <c r="L10" s="22">
        <f t="shared" ref="L10:L25" si="2">E10</f>
        <v>49</v>
      </c>
      <c r="M10" s="22">
        <v>43</v>
      </c>
      <c r="N10" s="22">
        <v>57</v>
      </c>
      <c r="O10" s="22">
        <v>40</v>
      </c>
      <c r="P10" s="22">
        <v>60</v>
      </c>
    </row>
    <row r="11" spans="1:16" ht="20.149999999999999" customHeight="1" x14ac:dyDescent="0.45">
      <c r="A11" s="29">
        <v>2</v>
      </c>
      <c r="B11" s="27">
        <v>44652</v>
      </c>
      <c r="C11" s="27" t="s">
        <v>49</v>
      </c>
      <c r="D11" s="29" t="s">
        <v>25</v>
      </c>
      <c r="E11" s="30">
        <v>49</v>
      </c>
      <c r="F11" s="30">
        <f>E11-$B$5</f>
        <v>-1</v>
      </c>
      <c r="G11" s="31" t="s">
        <v>7</v>
      </c>
      <c r="H11" s="32" t="s">
        <v>15</v>
      </c>
      <c r="J11" s="6">
        <f t="shared" si="1"/>
        <v>2</v>
      </c>
      <c r="K11" s="22">
        <v>50</v>
      </c>
      <c r="L11" s="22">
        <f t="shared" si="2"/>
        <v>49</v>
      </c>
      <c r="M11" s="22">
        <v>43</v>
      </c>
      <c r="N11" s="22">
        <v>57</v>
      </c>
      <c r="O11" s="22">
        <v>40</v>
      </c>
      <c r="P11" s="22">
        <v>60</v>
      </c>
    </row>
    <row r="12" spans="1:16" ht="20.149999999999999" customHeight="1" x14ac:dyDescent="0.45">
      <c r="A12" s="29">
        <v>3</v>
      </c>
      <c r="B12" s="27">
        <v>44653</v>
      </c>
      <c r="C12" s="27" t="s">
        <v>50</v>
      </c>
      <c r="D12" s="29" t="s">
        <v>24</v>
      </c>
      <c r="E12" s="30">
        <v>48</v>
      </c>
      <c r="F12" s="30">
        <f t="shared" si="0"/>
        <v>-2</v>
      </c>
      <c r="G12" s="31" t="s">
        <v>7</v>
      </c>
      <c r="H12" s="32" t="s">
        <v>15</v>
      </c>
      <c r="J12" s="6">
        <f t="shared" si="1"/>
        <v>3</v>
      </c>
      <c r="K12" s="22">
        <v>50</v>
      </c>
      <c r="L12" s="22">
        <f t="shared" si="2"/>
        <v>48</v>
      </c>
      <c r="M12" s="22">
        <v>43</v>
      </c>
      <c r="N12" s="22">
        <v>57</v>
      </c>
      <c r="O12" s="22">
        <v>40</v>
      </c>
      <c r="P12" s="22">
        <v>60</v>
      </c>
    </row>
    <row r="13" spans="1:16" ht="20.149999999999999" customHeight="1" x14ac:dyDescent="0.45">
      <c r="A13" s="29">
        <v>4</v>
      </c>
      <c r="B13" s="27">
        <v>44653</v>
      </c>
      <c r="C13" s="27" t="s">
        <v>50</v>
      </c>
      <c r="D13" s="29" t="s">
        <v>25</v>
      </c>
      <c r="E13" s="30">
        <v>48</v>
      </c>
      <c r="F13" s="30">
        <f t="shared" si="0"/>
        <v>-2</v>
      </c>
      <c r="G13" s="31" t="s">
        <v>7</v>
      </c>
      <c r="H13" s="32" t="s">
        <v>15</v>
      </c>
      <c r="J13" s="6">
        <f t="shared" si="1"/>
        <v>4</v>
      </c>
      <c r="K13" s="22">
        <v>50</v>
      </c>
      <c r="L13" s="22">
        <f t="shared" si="2"/>
        <v>48</v>
      </c>
      <c r="M13" s="22">
        <v>43</v>
      </c>
      <c r="N13" s="22">
        <v>57</v>
      </c>
      <c r="O13" s="22">
        <v>40</v>
      </c>
      <c r="P13" s="22">
        <v>60</v>
      </c>
    </row>
    <row r="14" spans="1:16" ht="20.149999999999999" customHeight="1" x14ac:dyDescent="0.45">
      <c r="A14" s="29">
        <v>5</v>
      </c>
      <c r="B14" s="27">
        <v>44655</v>
      </c>
      <c r="C14" s="27" t="s">
        <v>51</v>
      </c>
      <c r="D14" s="29" t="s">
        <v>24</v>
      </c>
      <c r="E14" s="30">
        <v>50</v>
      </c>
      <c r="F14" s="30">
        <f t="shared" si="0"/>
        <v>0</v>
      </c>
      <c r="G14" s="31" t="s">
        <v>7</v>
      </c>
      <c r="H14" s="32" t="s">
        <v>15</v>
      </c>
      <c r="J14" s="6">
        <f t="shared" si="1"/>
        <v>5</v>
      </c>
      <c r="K14" s="22">
        <v>50</v>
      </c>
      <c r="L14" s="22">
        <f t="shared" si="2"/>
        <v>50</v>
      </c>
      <c r="M14" s="22">
        <v>43</v>
      </c>
      <c r="N14" s="22">
        <v>57</v>
      </c>
      <c r="O14" s="22">
        <v>40</v>
      </c>
      <c r="P14" s="22">
        <v>60</v>
      </c>
    </row>
    <row r="15" spans="1:16" ht="20.149999999999999" customHeight="1" x14ac:dyDescent="0.45">
      <c r="A15" s="29">
        <v>6</v>
      </c>
      <c r="B15" s="27">
        <v>44655</v>
      </c>
      <c r="C15" s="27" t="s">
        <v>41</v>
      </c>
      <c r="D15" s="29" t="s">
        <v>25</v>
      </c>
      <c r="E15" s="30">
        <v>50</v>
      </c>
      <c r="F15" s="30">
        <f t="shared" si="0"/>
        <v>0</v>
      </c>
      <c r="G15" s="31" t="s">
        <v>7</v>
      </c>
      <c r="H15" s="32" t="s">
        <v>15</v>
      </c>
      <c r="J15" s="6">
        <f t="shared" si="1"/>
        <v>6</v>
      </c>
      <c r="K15" s="22">
        <v>50</v>
      </c>
      <c r="L15" s="22">
        <f t="shared" si="2"/>
        <v>50</v>
      </c>
      <c r="M15" s="22">
        <v>43</v>
      </c>
      <c r="N15" s="22">
        <v>57</v>
      </c>
      <c r="O15" s="22">
        <v>40</v>
      </c>
      <c r="P15" s="22">
        <v>60</v>
      </c>
    </row>
    <row r="16" spans="1:16" ht="20.149999999999999" customHeight="1" x14ac:dyDescent="0.45">
      <c r="A16" s="29">
        <v>7</v>
      </c>
      <c r="B16" s="27">
        <v>44656</v>
      </c>
      <c r="C16" s="27" t="s">
        <v>52</v>
      </c>
      <c r="D16" s="29" t="s">
        <v>24</v>
      </c>
      <c r="E16" s="30">
        <v>49</v>
      </c>
      <c r="F16" s="30">
        <f t="shared" si="0"/>
        <v>-1</v>
      </c>
      <c r="G16" s="31" t="s">
        <v>7</v>
      </c>
      <c r="H16" s="32" t="s">
        <v>15</v>
      </c>
      <c r="J16" s="6">
        <f t="shared" si="1"/>
        <v>7</v>
      </c>
      <c r="K16" s="22">
        <v>50</v>
      </c>
      <c r="L16" s="22">
        <f t="shared" si="2"/>
        <v>49</v>
      </c>
      <c r="M16" s="22">
        <v>43</v>
      </c>
      <c r="N16" s="22">
        <v>57</v>
      </c>
      <c r="O16" s="22">
        <v>40</v>
      </c>
      <c r="P16" s="22">
        <v>60</v>
      </c>
    </row>
    <row r="17" spans="1:16" ht="20.149999999999999" customHeight="1" x14ac:dyDescent="0.45">
      <c r="A17" s="29">
        <v>8</v>
      </c>
      <c r="B17" s="27">
        <v>44656</v>
      </c>
      <c r="C17" s="27" t="s">
        <v>52</v>
      </c>
      <c r="D17" s="29" t="s">
        <v>25</v>
      </c>
      <c r="E17" s="30">
        <v>49</v>
      </c>
      <c r="F17" s="30">
        <f t="shared" ref="F17:F31" si="3">E17-$B$5</f>
        <v>-1</v>
      </c>
      <c r="G17" s="31" t="s">
        <v>7</v>
      </c>
      <c r="H17" s="32" t="s">
        <v>15</v>
      </c>
      <c r="J17" s="6">
        <f t="shared" si="1"/>
        <v>8</v>
      </c>
      <c r="K17" s="22">
        <v>50</v>
      </c>
      <c r="L17" s="22">
        <f t="shared" si="2"/>
        <v>49</v>
      </c>
      <c r="M17" s="22">
        <v>43</v>
      </c>
      <c r="N17" s="22">
        <v>57</v>
      </c>
      <c r="O17" s="22">
        <v>40</v>
      </c>
      <c r="P17" s="22">
        <v>60</v>
      </c>
    </row>
    <row r="18" spans="1:16" ht="20.149999999999999" customHeight="1" x14ac:dyDescent="0.45">
      <c r="A18" s="29">
        <v>9</v>
      </c>
      <c r="B18" s="27">
        <v>44657</v>
      </c>
      <c r="C18" s="27" t="s">
        <v>53</v>
      </c>
      <c r="D18" s="29" t="s">
        <v>24</v>
      </c>
      <c r="E18" s="30">
        <v>48</v>
      </c>
      <c r="F18" s="30">
        <f t="shared" si="3"/>
        <v>-2</v>
      </c>
      <c r="G18" s="31" t="s">
        <v>7</v>
      </c>
      <c r="H18" s="32" t="s">
        <v>15</v>
      </c>
      <c r="J18" s="6">
        <f t="shared" si="1"/>
        <v>9</v>
      </c>
      <c r="K18" s="22">
        <v>50</v>
      </c>
      <c r="L18" s="22">
        <f t="shared" si="2"/>
        <v>48</v>
      </c>
      <c r="M18" s="22">
        <v>43</v>
      </c>
      <c r="N18" s="22">
        <v>57</v>
      </c>
      <c r="O18" s="22">
        <v>40</v>
      </c>
      <c r="P18" s="22">
        <v>60</v>
      </c>
    </row>
    <row r="19" spans="1:16" ht="20.149999999999999" customHeight="1" x14ac:dyDescent="0.45">
      <c r="A19" s="29">
        <v>10</v>
      </c>
      <c r="B19" s="27">
        <v>44657</v>
      </c>
      <c r="C19" s="27" t="s">
        <v>53</v>
      </c>
      <c r="D19" s="29" t="s">
        <v>25</v>
      </c>
      <c r="E19" s="30">
        <v>48</v>
      </c>
      <c r="F19" s="30">
        <f t="shared" si="3"/>
        <v>-2</v>
      </c>
      <c r="G19" s="31" t="s">
        <v>7</v>
      </c>
      <c r="H19" s="32" t="s">
        <v>15</v>
      </c>
      <c r="J19" s="6">
        <f t="shared" si="1"/>
        <v>10</v>
      </c>
      <c r="K19" s="22">
        <v>50</v>
      </c>
      <c r="L19" s="22">
        <f t="shared" si="2"/>
        <v>48</v>
      </c>
      <c r="M19" s="22">
        <v>43</v>
      </c>
      <c r="N19" s="22">
        <v>57</v>
      </c>
      <c r="O19" s="22">
        <v>40</v>
      </c>
      <c r="P19" s="22">
        <v>60</v>
      </c>
    </row>
    <row r="20" spans="1:16" ht="23.25" customHeight="1" x14ac:dyDescent="0.45">
      <c r="A20" s="29">
        <v>11</v>
      </c>
      <c r="B20" s="27">
        <v>44658</v>
      </c>
      <c r="C20" s="27" t="s">
        <v>54</v>
      </c>
      <c r="D20" s="29" t="s">
        <v>24</v>
      </c>
      <c r="E20" s="30">
        <v>50</v>
      </c>
      <c r="F20" s="30">
        <f t="shared" si="3"/>
        <v>0</v>
      </c>
      <c r="G20" s="31" t="s">
        <v>7</v>
      </c>
      <c r="H20" s="32" t="s">
        <v>15</v>
      </c>
      <c r="J20" s="6">
        <f t="shared" si="1"/>
        <v>11</v>
      </c>
      <c r="K20" s="22">
        <v>50</v>
      </c>
      <c r="L20" s="22">
        <f t="shared" si="2"/>
        <v>50</v>
      </c>
      <c r="M20" s="22">
        <v>43</v>
      </c>
      <c r="N20" s="22">
        <v>57</v>
      </c>
      <c r="O20" s="22">
        <v>40</v>
      </c>
      <c r="P20" s="22">
        <v>60</v>
      </c>
    </row>
    <row r="21" spans="1:16" ht="23.25" customHeight="1" x14ac:dyDescent="0.45">
      <c r="A21" s="29">
        <v>12</v>
      </c>
      <c r="B21" s="27">
        <v>44658</v>
      </c>
      <c r="C21" s="27" t="s">
        <v>54</v>
      </c>
      <c r="D21" s="29" t="s">
        <v>46</v>
      </c>
      <c r="E21" s="30">
        <v>50</v>
      </c>
      <c r="F21" s="30">
        <f t="shared" si="3"/>
        <v>0</v>
      </c>
      <c r="G21" s="31" t="s">
        <v>7</v>
      </c>
      <c r="H21" s="32" t="s">
        <v>15</v>
      </c>
      <c r="J21" s="6">
        <f t="shared" si="1"/>
        <v>12</v>
      </c>
      <c r="K21" s="22">
        <v>50</v>
      </c>
      <c r="L21" s="22">
        <f t="shared" si="2"/>
        <v>50</v>
      </c>
      <c r="M21" s="22">
        <v>43</v>
      </c>
      <c r="N21" s="22">
        <v>57</v>
      </c>
      <c r="O21" s="22">
        <v>40</v>
      </c>
      <c r="P21" s="22">
        <v>60</v>
      </c>
    </row>
    <row r="22" spans="1:16" ht="20.149999999999999" customHeight="1" x14ac:dyDescent="0.45">
      <c r="A22" s="29">
        <v>13</v>
      </c>
      <c r="B22" s="27">
        <v>44659</v>
      </c>
      <c r="C22" s="27" t="s">
        <v>55</v>
      </c>
      <c r="D22" s="29" t="s">
        <v>24</v>
      </c>
      <c r="E22" s="30">
        <v>48</v>
      </c>
      <c r="F22" s="30">
        <f t="shared" si="3"/>
        <v>-2</v>
      </c>
      <c r="G22" s="31" t="s">
        <v>7</v>
      </c>
      <c r="H22" s="32" t="s">
        <v>15</v>
      </c>
      <c r="J22" s="6">
        <f t="shared" si="1"/>
        <v>13</v>
      </c>
      <c r="K22" s="22">
        <v>50</v>
      </c>
      <c r="L22" s="22">
        <f t="shared" si="2"/>
        <v>48</v>
      </c>
      <c r="M22" s="22">
        <v>43</v>
      </c>
      <c r="N22" s="22">
        <v>57</v>
      </c>
      <c r="O22" s="22">
        <v>40</v>
      </c>
      <c r="P22" s="22">
        <v>60</v>
      </c>
    </row>
    <row r="23" spans="1:16" ht="20.149999999999999" customHeight="1" x14ac:dyDescent="0.45">
      <c r="A23" s="29">
        <v>14</v>
      </c>
      <c r="B23" s="27">
        <v>44659</v>
      </c>
      <c r="C23" s="27" t="s">
        <v>55</v>
      </c>
      <c r="D23" s="29" t="s">
        <v>25</v>
      </c>
      <c r="E23" s="30">
        <v>48</v>
      </c>
      <c r="F23" s="30">
        <f t="shared" si="3"/>
        <v>-2</v>
      </c>
      <c r="G23" s="31" t="s">
        <v>7</v>
      </c>
      <c r="H23" s="32" t="s">
        <v>15</v>
      </c>
      <c r="J23" s="6">
        <f t="shared" si="1"/>
        <v>14</v>
      </c>
      <c r="K23" s="22">
        <v>50</v>
      </c>
      <c r="L23" s="22">
        <f t="shared" si="2"/>
        <v>48</v>
      </c>
      <c r="M23" s="22">
        <v>43</v>
      </c>
      <c r="N23" s="22">
        <v>57</v>
      </c>
      <c r="O23" s="22">
        <v>40</v>
      </c>
      <c r="P23" s="22">
        <v>60</v>
      </c>
    </row>
    <row r="24" spans="1:16" ht="20.149999999999999" customHeight="1" x14ac:dyDescent="0.45">
      <c r="A24" s="29">
        <v>15</v>
      </c>
      <c r="B24" s="27">
        <v>44660</v>
      </c>
      <c r="C24" s="27" t="s">
        <v>50</v>
      </c>
      <c r="D24" s="29" t="s">
        <v>24</v>
      </c>
      <c r="E24" s="30">
        <v>49</v>
      </c>
      <c r="F24" s="30">
        <f t="shared" si="3"/>
        <v>-1</v>
      </c>
      <c r="G24" s="31" t="s">
        <v>7</v>
      </c>
      <c r="H24" s="32" t="s">
        <v>15</v>
      </c>
      <c r="J24" s="6">
        <f t="shared" si="1"/>
        <v>15</v>
      </c>
      <c r="K24" s="22">
        <v>50</v>
      </c>
      <c r="L24" s="22">
        <f t="shared" si="2"/>
        <v>49</v>
      </c>
      <c r="M24" s="22">
        <v>43</v>
      </c>
      <c r="N24" s="22">
        <v>57</v>
      </c>
      <c r="O24" s="22">
        <v>40</v>
      </c>
      <c r="P24" s="22">
        <v>60</v>
      </c>
    </row>
    <row r="25" spans="1:16" ht="20.149999999999999" customHeight="1" x14ac:dyDescent="0.45">
      <c r="A25" s="29">
        <v>16</v>
      </c>
      <c r="B25" s="27">
        <v>44660</v>
      </c>
      <c r="C25" s="27" t="s">
        <v>50</v>
      </c>
      <c r="D25" s="29" t="s">
        <v>25</v>
      </c>
      <c r="E25" s="30">
        <v>49</v>
      </c>
      <c r="F25" s="30">
        <f t="shared" si="3"/>
        <v>-1</v>
      </c>
      <c r="G25" s="31" t="s">
        <v>7</v>
      </c>
      <c r="H25" s="32" t="s">
        <v>15</v>
      </c>
      <c r="J25" s="6">
        <f t="shared" si="1"/>
        <v>16</v>
      </c>
      <c r="K25" s="22">
        <v>50</v>
      </c>
      <c r="L25" s="22">
        <f t="shared" si="2"/>
        <v>49</v>
      </c>
      <c r="M25" s="22">
        <v>43</v>
      </c>
      <c r="N25" s="22">
        <v>57</v>
      </c>
      <c r="O25" s="22">
        <v>40</v>
      </c>
      <c r="P25" s="22">
        <v>60</v>
      </c>
    </row>
    <row r="26" spans="1:16" ht="20.149999999999999" customHeight="1" x14ac:dyDescent="0.45">
      <c r="A26" s="29">
        <v>17</v>
      </c>
      <c r="B26" s="27">
        <v>44662</v>
      </c>
      <c r="C26" s="27" t="s">
        <v>51</v>
      </c>
      <c r="D26" s="29" t="s">
        <v>24</v>
      </c>
      <c r="E26" s="30">
        <v>49</v>
      </c>
      <c r="F26" s="30">
        <f t="shared" si="3"/>
        <v>-1</v>
      </c>
      <c r="G26" s="31" t="s">
        <v>7</v>
      </c>
      <c r="H26" s="32" t="s">
        <v>15</v>
      </c>
      <c r="J26" s="6">
        <f t="shared" ref="J26:J32" si="4">A26</f>
        <v>17</v>
      </c>
      <c r="K26" s="22">
        <v>50</v>
      </c>
      <c r="L26" s="22">
        <f t="shared" ref="L26:L32" si="5">E26</f>
        <v>49</v>
      </c>
      <c r="M26" s="22">
        <v>43</v>
      </c>
      <c r="N26" s="22">
        <v>57</v>
      </c>
      <c r="O26" s="22">
        <v>40</v>
      </c>
      <c r="P26" s="22">
        <v>60</v>
      </c>
    </row>
    <row r="27" spans="1:16" ht="20.149999999999999" customHeight="1" x14ac:dyDescent="0.45">
      <c r="A27" s="29">
        <v>18</v>
      </c>
      <c r="B27" s="27">
        <v>44662</v>
      </c>
      <c r="C27" s="27" t="s">
        <v>51</v>
      </c>
      <c r="D27" s="29" t="s">
        <v>25</v>
      </c>
      <c r="E27" s="30">
        <v>49</v>
      </c>
      <c r="F27" s="30">
        <f t="shared" si="3"/>
        <v>-1</v>
      </c>
      <c r="G27" s="31" t="s">
        <v>7</v>
      </c>
      <c r="H27" s="32" t="s">
        <v>15</v>
      </c>
      <c r="J27" s="6">
        <f t="shared" si="4"/>
        <v>18</v>
      </c>
      <c r="K27" s="22">
        <v>50</v>
      </c>
      <c r="L27" s="22">
        <f t="shared" si="5"/>
        <v>49</v>
      </c>
      <c r="M27" s="22">
        <v>43</v>
      </c>
      <c r="N27" s="22">
        <v>57</v>
      </c>
      <c r="O27" s="22">
        <v>40</v>
      </c>
      <c r="P27" s="22">
        <v>60</v>
      </c>
    </row>
    <row r="28" spans="1:16" ht="20.149999999999999" customHeight="1" x14ac:dyDescent="0.45">
      <c r="A28" s="29">
        <v>19</v>
      </c>
      <c r="B28" s="27">
        <v>44663</v>
      </c>
      <c r="C28" s="27" t="s">
        <v>52</v>
      </c>
      <c r="D28" s="29" t="s">
        <v>24</v>
      </c>
      <c r="E28" s="30">
        <v>51</v>
      </c>
      <c r="F28" s="30">
        <f t="shared" si="3"/>
        <v>1</v>
      </c>
      <c r="G28" s="31" t="s">
        <v>7</v>
      </c>
      <c r="H28" s="32" t="s">
        <v>15</v>
      </c>
      <c r="J28" s="6">
        <f t="shared" si="4"/>
        <v>19</v>
      </c>
      <c r="K28" s="22">
        <v>50</v>
      </c>
      <c r="L28" s="22">
        <f t="shared" si="5"/>
        <v>51</v>
      </c>
      <c r="M28" s="22">
        <v>43</v>
      </c>
      <c r="N28" s="22">
        <v>57</v>
      </c>
      <c r="O28" s="22">
        <v>40</v>
      </c>
      <c r="P28" s="22">
        <v>60</v>
      </c>
    </row>
    <row r="29" spans="1:16" ht="20.149999999999999" customHeight="1" x14ac:dyDescent="0.45">
      <c r="A29" s="29">
        <v>20</v>
      </c>
      <c r="B29" s="27">
        <v>44663</v>
      </c>
      <c r="C29" s="27" t="s">
        <v>52</v>
      </c>
      <c r="D29" s="29" t="s">
        <v>25</v>
      </c>
      <c r="E29" s="30">
        <v>51</v>
      </c>
      <c r="F29" s="30">
        <f t="shared" si="3"/>
        <v>1</v>
      </c>
      <c r="G29" s="31" t="s">
        <v>7</v>
      </c>
      <c r="H29" s="32" t="s">
        <v>15</v>
      </c>
      <c r="J29" s="6">
        <f t="shared" si="4"/>
        <v>20</v>
      </c>
      <c r="K29" s="22">
        <v>50</v>
      </c>
      <c r="L29" s="22">
        <f t="shared" si="5"/>
        <v>51</v>
      </c>
      <c r="M29" s="22">
        <v>43</v>
      </c>
      <c r="N29" s="22">
        <v>57</v>
      </c>
      <c r="O29" s="22">
        <v>40</v>
      </c>
      <c r="P29" s="22">
        <v>60</v>
      </c>
    </row>
    <row r="30" spans="1:16" ht="20.149999999999999" customHeight="1" x14ac:dyDescent="0.45">
      <c r="A30" s="29">
        <v>21</v>
      </c>
      <c r="B30" s="27">
        <v>44664</v>
      </c>
      <c r="C30" s="27" t="s">
        <v>53</v>
      </c>
      <c r="D30" s="29" t="s">
        <v>24</v>
      </c>
      <c r="E30" s="30">
        <v>50</v>
      </c>
      <c r="F30" s="30">
        <f t="shared" si="3"/>
        <v>0</v>
      </c>
      <c r="G30" s="31" t="s">
        <v>7</v>
      </c>
      <c r="H30" s="32" t="s">
        <v>15</v>
      </c>
      <c r="J30" s="6">
        <f t="shared" si="4"/>
        <v>21</v>
      </c>
      <c r="K30" s="22">
        <v>50</v>
      </c>
      <c r="L30" s="22">
        <f t="shared" si="5"/>
        <v>50</v>
      </c>
      <c r="M30" s="22">
        <v>43</v>
      </c>
      <c r="N30" s="22">
        <v>57</v>
      </c>
      <c r="O30" s="22">
        <v>40</v>
      </c>
      <c r="P30" s="22">
        <v>60</v>
      </c>
    </row>
    <row r="31" spans="1:16" ht="20.149999999999999" customHeight="1" x14ac:dyDescent="0.45">
      <c r="A31" s="29">
        <v>22</v>
      </c>
      <c r="B31" s="27">
        <v>44664</v>
      </c>
      <c r="C31" s="27" t="s">
        <v>53</v>
      </c>
      <c r="D31" s="29" t="s">
        <v>25</v>
      </c>
      <c r="E31" s="30">
        <v>50</v>
      </c>
      <c r="F31" s="30">
        <f t="shared" si="3"/>
        <v>0</v>
      </c>
      <c r="G31" s="31" t="s">
        <v>7</v>
      </c>
      <c r="H31" s="32" t="s">
        <v>15</v>
      </c>
      <c r="J31" s="6">
        <f t="shared" si="4"/>
        <v>22</v>
      </c>
      <c r="K31" s="22">
        <v>50</v>
      </c>
      <c r="L31" s="22">
        <f t="shared" si="5"/>
        <v>50</v>
      </c>
      <c r="M31" s="22">
        <v>43</v>
      </c>
      <c r="N31" s="22">
        <v>57</v>
      </c>
      <c r="O31" s="22">
        <v>40</v>
      </c>
      <c r="P31" s="22">
        <v>60</v>
      </c>
    </row>
    <row r="32" spans="1:16" ht="20.149999999999999" customHeight="1" x14ac:dyDescent="0.45">
      <c r="A32" s="29">
        <v>23</v>
      </c>
      <c r="B32" s="27">
        <v>44665</v>
      </c>
      <c r="C32" s="27" t="s">
        <v>56</v>
      </c>
      <c r="D32" s="29" t="s">
        <v>24</v>
      </c>
      <c r="E32" s="30">
        <v>52</v>
      </c>
      <c r="F32" s="30">
        <f t="shared" ref="F32:F35" si="6">E32-$B$5</f>
        <v>2</v>
      </c>
      <c r="G32" s="31" t="s">
        <v>7</v>
      </c>
      <c r="H32" s="32" t="s">
        <v>15</v>
      </c>
      <c r="J32" s="6">
        <f t="shared" si="4"/>
        <v>23</v>
      </c>
      <c r="K32" s="22">
        <v>50</v>
      </c>
      <c r="L32" s="22">
        <f t="shared" si="5"/>
        <v>52</v>
      </c>
      <c r="M32" s="22">
        <v>43</v>
      </c>
      <c r="N32" s="22">
        <v>57</v>
      </c>
      <c r="O32" s="22">
        <v>40</v>
      </c>
      <c r="P32" s="22">
        <v>60</v>
      </c>
    </row>
    <row r="33" spans="1:16" ht="20.149999999999999" customHeight="1" x14ac:dyDescent="0.45">
      <c r="A33" s="29">
        <v>24</v>
      </c>
      <c r="B33" s="27">
        <v>44665</v>
      </c>
      <c r="C33" s="27" t="s">
        <v>56</v>
      </c>
      <c r="D33" s="29" t="s">
        <v>25</v>
      </c>
      <c r="E33" s="30">
        <v>52</v>
      </c>
      <c r="F33" s="30">
        <f t="shared" si="6"/>
        <v>2</v>
      </c>
      <c r="G33" s="31" t="s">
        <v>7</v>
      </c>
      <c r="H33" s="32" t="s">
        <v>15</v>
      </c>
      <c r="J33" s="6">
        <f t="shared" ref="J33:J35" si="7">A33</f>
        <v>24</v>
      </c>
      <c r="K33" s="22">
        <v>50</v>
      </c>
      <c r="L33" s="22">
        <f t="shared" ref="L33:L35" si="8">E33</f>
        <v>52</v>
      </c>
      <c r="M33" s="22">
        <v>43</v>
      </c>
      <c r="N33" s="22">
        <v>57</v>
      </c>
      <c r="O33" s="22">
        <v>40</v>
      </c>
      <c r="P33" s="22">
        <v>60</v>
      </c>
    </row>
    <row r="34" spans="1:16" ht="20.149999999999999" customHeight="1" x14ac:dyDescent="0.45">
      <c r="A34" s="29">
        <v>25</v>
      </c>
      <c r="B34" s="27">
        <v>44666</v>
      </c>
      <c r="C34" s="27" t="s">
        <v>55</v>
      </c>
      <c r="D34" s="29" t="s">
        <v>24</v>
      </c>
      <c r="E34" s="30">
        <v>48</v>
      </c>
      <c r="F34" s="30">
        <f t="shared" si="6"/>
        <v>-2</v>
      </c>
      <c r="G34" s="37" t="s">
        <v>7</v>
      </c>
      <c r="H34" s="32" t="s">
        <v>15</v>
      </c>
      <c r="J34" s="6">
        <f t="shared" si="7"/>
        <v>25</v>
      </c>
      <c r="K34" s="22">
        <v>50</v>
      </c>
      <c r="L34" s="22">
        <f t="shared" si="8"/>
        <v>48</v>
      </c>
      <c r="M34" s="22">
        <v>43</v>
      </c>
      <c r="N34" s="22">
        <v>57</v>
      </c>
      <c r="O34" s="22">
        <v>40</v>
      </c>
      <c r="P34" s="22">
        <v>60</v>
      </c>
    </row>
    <row r="35" spans="1:16" ht="20.149999999999999" customHeight="1" x14ac:dyDescent="0.45">
      <c r="A35" s="29">
        <v>26</v>
      </c>
      <c r="B35" s="27">
        <v>44666</v>
      </c>
      <c r="C35" s="27" t="s">
        <v>55</v>
      </c>
      <c r="D35" s="29" t="s">
        <v>25</v>
      </c>
      <c r="E35" s="30">
        <v>48</v>
      </c>
      <c r="F35" s="30">
        <f t="shared" si="6"/>
        <v>-2</v>
      </c>
      <c r="G35" s="37" t="s">
        <v>7</v>
      </c>
      <c r="H35" s="32" t="s">
        <v>15</v>
      </c>
      <c r="J35" s="6">
        <f t="shared" si="7"/>
        <v>26</v>
      </c>
      <c r="K35" s="22">
        <v>50</v>
      </c>
      <c r="L35" s="22">
        <f t="shared" si="8"/>
        <v>48</v>
      </c>
      <c r="M35" s="22">
        <v>43</v>
      </c>
      <c r="N35" s="22">
        <v>57</v>
      </c>
      <c r="O35" s="22">
        <v>40</v>
      </c>
      <c r="P35" s="22">
        <v>60</v>
      </c>
    </row>
    <row r="36" spans="1:16" ht="20.149999999999999" customHeight="1" x14ac:dyDescent="0.45">
      <c r="A36" s="27" t="s">
        <v>47</v>
      </c>
      <c r="B36" s="50">
        <f>AVERAGE(E10:E35)</f>
        <v>49.307692307692307</v>
      </c>
      <c r="C36" s="27" t="s">
        <v>57</v>
      </c>
      <c r="D36" s="49">
        <v>50</v>
      </c>
      <c r="E36" s="30" t="s">
        <v>48</v>
      </c>
      <c r="F36" s="49">
        <v>48</v>
      </c>
      <c r="G36" s="49"/>
      <c r="H36" s="32" t="s">
        <v>15</v>
      </c>
      <c r="K36" s="22"/>
      <c r="L36" s="22"/>
      <c r="M36" s="22"/>
      <c r="N36" s="22"/>
      <c r="O36" s="22"/>
      <c r="P36" s="22"/>
    </row>
    <row r="37" spans="1:16" ht="45.75" customHeight="1" x14ac:dyDescent="0.45">
      <c r="A37" s="33" t="s">
        <v>8</v>
      </c>
      <c r="B37" s="34"/>
      <c r="C37" s="34"/>
      <c r="D37" s="35"/>
      <c r="E37" s="35"/>
      <c r="F37" s="35"/>
      <c r="G37" s="35"/>
      <c r="H37" s="35"/>
    </row>
    <row r="38" spans="1:16" ht="20.149999999999999" customHeight="1" x14ac:dyDescent="0.45">
      <c r="A38" s="34"/>
      <c r="B38" s="34"/>
      <c r="C38" s="34"/>
      <c r="D38" s="36" t="s">
        <v>1</v>
      </c>
      <c r="E38" s="36"/>
      <c r="F38" s="34"/>
      <c r="G38" s="36" t="s">
        <v>2</v>
      </c>
      <c r="H38" s="36" t="s">
        <v>3</v>
      </c>
    </row>
    <row r="39" spans="1:16" ht="23.25" customHeight="1" x14ac:dyDescent="0.45"/>
    <row r="40" spans="1:16" x14ac:dyDescent="0.45">
      <c r="F40" s="24"/>
    </row>
    <row r="41" spans="1:16" x14ac:dyDescent="0.45">
      <c r="A41" s="23" t="s">
        <v>14</v>
      </c>
      <c r="D41" s="25" t="s">
        <v>1</v>
      </c>
      <c r="E41" s="25"/>
      <c r="G41" s="25" t="s">
        <v>2</v>
      </c>
      <c r="H41" s="25" t="s">
        <v>3</v>
      </c>
    </row>
    <row r="42" spans="1:16" ht="19.5" customHeight="1" x14ac:dyDescent="0.45"/>
    <row r="43" spans="1:16" x14ac:dyDescent="0.45">
      <c r="A43" s="23" t="s">
        <v>18</v>
      </c>
      <c r="D43" s="24"/>
      <c r="E43" s="24"/>
      <c r="F43" s="24"/>
      <c r="G43" s="24"/>
      <c r="H43" s="24"/>
    </row>
    <row r="44" spans="1:16" ht="30" customHeight="1" x14ac:dyDescent="0.45">
      <c r="D44" s="24"/>
      <c r="E44" s="24"/>
      <c r="F44" s="24"/>
      <c r="G44" s="24"/>
      <c r="H44" s="24"/>
    </row>
    <row r="45" spans="1:16" ht="27.75" customHeight="1" x14ac:dyDescent="0.45">
      <c r="D45" s="24"/>
      <c r="E45" s="24"/>
      <c r="F45" s="24"/>
    </row>
    <row r="46" spans="1:16" ht="18.75" customHeight="1" x14ac:dyDescent="0.45">
      <c r="G46" s="25" t="s">
        <v>2</v>
      </c>
      <c r="H46" s="25" t="s">
        <v>3</v>
      </c>
    </row>
    <row r="47" spans="1:16" ht="11.25" customHeight="1" thickBot="1" x14ac:dyDescent="0.5"/>
    <row r="48" spans="1:16" s="42" customFormat="1" ht="16.5" thickBot="1" x14ac:dyDescent="0.5">
      <c r="B48" s="44" t="s">
        <v>43</v>
      </c>
      <c r="C48" s="6"/>
    </row>
    <row r="49" spans="1:8" s="42" customFormat="1" ht="16.5" thickBot="1" x14ac:dyDescent="0.5">
      <c r="A49" s="43" t="s">
        <v>42</v>
      </c>
      <c r="B49" s="6"/>
      <c r="D49" s="45" t="s">
        <v>44</v>
      </c>
      <c r="E49" s="44">
        <v>0</v>
      </c>
      <c r="F49" s="45" t="s">
        <v>45</v>
      </c>
      <c r="G49" s="46">
        <v>43836</v>
      </c>
      <c r="H49" s="47" t="s">
        <v>0</v>
      </c>
    </row>
    <row r="50" spans="1:8" ht="2.25" customHeight="1" x14ac:dyDescent="0.45">
      <c r="C50" s="44"/>
    </row>
  </sheetData>
  <mergeCells count="1">
    <mergeCell ref="D1:F1"/>
  </mergeCells>
  <printOptions horizontalCentered="1"/>
  <pageMargins left="0.95" right="0.7" top="0.5" bottom="0.25" header="0.3" footer="0.3"/>
  <pageSetup paperSize="9" scale="5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view="pageBreakPreview" zoomScale="115" zoomScaleNormal="95" zoomScaleSheetLayoutView="115" workbookViewId="0">
      <selection activeCell="G3" sqref="G3"/>
    </sheetView>
  </sheetViews>
  <sheetFormatPr defaultColWidth="9.1796875" defaultRowHeight="16" x14ac:dyDescent="0.45"/>
  <cols>
    <col min="1" max="1" width="20.26953125" style="6" customWidth="1"/>
    <col min="2" max="2" width="15.81640625" style="6" customWidth="1"/>
    <col min="3" max="3" width="15.54296875" style="6" customWidth="1"/>
    <col min="4" max="4" width="16" style="6" customWidth="1"/>
    <col min="5" max="5" width="16.7265625" style="6" customWidth="1"/>
    <col min="6" max="6" width="15" style="6" customWidth="1"/>
    <col min="7" max="7" width="14.26953125" style="6" customWidth="1"/>
    <col min="8" max="8" width="18" style="6" customWidth="1"/>
    <col min="9" max="9" width="16.1796875" style="6" customWidth="1"/>
    <col min="10" max="16384" width="9.1796875" style="6"/>
  </cols>
  <sheetData>
    <row r="1" spans="1:16" s="42" customFormat="1" ht="21" customHeight="1" x14ac:dyDescent="0.45">
      <c r="A1" s="39"/>
      <c r="B1" s="51"/>
      <c r="C1" s="51"/>
      <c r="D1" s="53" t="s">
        <v>4</v>
      </c>
      <c r="E1" s="53"/>
      <c r="F1" s="53"/>
      <c r="G1" s="40"/>
      <c r="H1" s="41"/>
    </row>
    <row r="2" spans="1:16" x14ac:dyDescent="0.45">
      <c r="A2" s="8"/>
      <c r="B2" s="9"/>
      <c r="C2" s="9"/>
      <c r="D2" s="10"/>
      <c r="E2" s="10"/>
      <c r="F2" s="10"/>
    </row>
    <row r="3" spans="1:16" ht="19.5" customHeight="1" x14ac:dyDescent="0.45">
      <c r="A3" s="11" t="s">
        <v>5</v>
      </c>
      <c r="B3" s="5" t="s">
        <v>58</v>
      </c>
      <c r="C3" s="7"/>
      <c r="D3" s="12"/>
      <c r="E3" s="13" t="s">
        <v>19</v>
      </c>
      <c r="F3" s="5"/>
      <c r="G3" s="14" t="s">
        <v>60</v>
      </c>
      <c r="H3" s="5"/>
    </row>
    <row r="4" spans="1:16" ht="21.75" customHeight="1" x14ac:dyDescent="0.45">
      <c r="A4" s="13" t="s">
        <v>16</v>
      </c>
      <c r="B4" s="5" t="s">
        <v>62</v>
      </c>
      <c r="C4" s="7"/>
      <c r="D4" s="16"/>
      <c r="E4" s="13" t="s">
        <v>17</v>
      </c>
      <c r="F4" s="5"/>
      <c r="G4" s="15" t="s">
        <v>21</v>
      </c>
      <c r="H4" s="5"/>
    </row>
    <row r="5" spans="1:16" x14ac:dyDescent="0.45">
      <c r="A5" s="13" t="s">
        <v>28</v>
      </c>
      <c r="B5" s="5">
        <v>50</v>
      </c>
      <c r="C5" s="7"/>
      <c r="D5" s="18"/>
      <c r="E5" s="13" t="s">
        <v>20</v>
      </c>
      <c r="F5" s="5"/>
      <c r="G5" s="19" t="s">
        <v>38</v>
      </c>
      <c r="H5" s="5"/>
    </row>
    <row r="6" spans="1:16" x14ac:dyDescent="0.45">
      <c r="A6" s="17" t="s">
        <v>29</v>
      </c>
      <c r="B6" s="5">
        <v>43</v>
      </c>
      <c r="C6" s="7"/>
      <c r="D6" s="20"/>
      <c r="E6" s="13" t="s">
        <v>31</v>
      </c>
      <c r="F6" s="5"/>
      <c r="G6" s="19">
        <v>57</v>
      </c>
      <c r="H6" s="5"/>
    </row>
    <row r="7" spans="1:16" x14ac:dyDescent="0.45">
      <c r="A7" s="17" t="s">
        <v>30</v>
      </c>
      <c r="B7" s="5">
        <v>40</v>
      </c>
      <c r="C7" s="7"/>
      <c r="D7" s="20"/>
      <c r="E7" s="13" t="s">
        <v>32</v>
      </c>
      <c r="F7" s="5"/>
      <c r="G7" s="19">
        <v>60</v>
      </c>
      <c r="H7" s="5"/>
    </row>
    <row r="8" spans="1:16" ht="339.75" customHeight="1" x14ac:dyDescent="0.45">
      <c r="D8" s="21"/>
      <c r="F8" s="21"/>
    </row>
    <row r="9" spans="1:16" ht="46.5" customHeight="1" x14ac:dyDescent="0.45">
      <c r="A9" s="1" t="s">
        <v>35</v>
      </c>
      <c r="B9" s="1" t="s">
        <v>3</v>
      </c>
      <c r="C9" s="1" t="s">
        <v>40</v>
      </c>
      <c r="D9" s="1" t="s">
        <v>23</v>
      </c>
      <c r="E9" s="1" t="s">
        <v>33</v>
      </c>
      <c r="F9" s="2" t="s">
        <v>34</v>
      </c>
      <c r="G9" s="26" t="s">
        <v>6</v>
      </c>
      <c r="H9" s="28" t="s">
        <v>22</v>
      </c>
      <c r="J9" s="3" t="s">
        <v>13</v>
      </c>
      <c r="K9" s="4" t="s">
        <v>26</v>
      </c>
      <c r="L9" s="4" t="s">
        <v>27</v>
      </c>
      <c r="M9" s="4" t="s">
        <v>9</v>
      </c>
      <c r="N9" s="4" t="s">
        <v>10</v>
      </c>
      <c r="O9" s="4" t="s">
        <v>11</v>
      </c>
      <c r="P9" s="4" t="s">
        <v>12</v>
      </c>
    </row>
    <row r="10" spans="1:16" ht="20.149999999999999" customHeight="1" x14ac:dyDescent="0.45">
      <c r="A10" s="29">
        <v>1</v>
      </c>
      <c r="B10" s="27">
        <v>44652</v>
      </c>
      <c r="C10" s="27" t="s">
        <v>49</v>
      </c>
      <c r="D10" s="29" t="s">
        <v>24</v>
      </c>
      <c r="E10" s="30">
        <v>50</v>
      </c>
      <c r="F10" s="30">
        <f t="shared" ref="F10:F33" si="0">E10-$B$5</f>
        <v>0</v>
      </c>
      <c r="G10" s="31" t="s">
        <v>7</v>
      </c>
      <c r="H10" s="32" t="s">
        <v>15</v>
      </c>
      <c r="J10" s="6">
        <f t="shared" ref="J10:J33" si="1">A10</f>
        <v>1</v>
      </c>
      <c r="K10" s="22">
        <v>50</v>
      </c>
      <c r="L10" s="22">
        <f t="shared" ref="L10" si="2">E10</f>
        <v>50</v>
      </c>
      <c r="M10" s="22">
        <v>43</v>
      </c>
      <c r="N10" s="22">
        <v>57</v>
      </c>
      <c r="O10" s="22">
        <v>40</v>
      </c>
      <c r="P10" s="22">
        <v>60</v>
      </c>
    </row>
    <row r="11" spans="1:16" ht="20.149999999999999" customHeight="1" x14ac:dyDescent="0.45">
      <c r="A11" s="29">
        <v>2</v>
      </c>
      <c r="B11" s="27">
        <v>44652</v>
      </c>
      <c r="C11" s="27" t="s">
        <v>49</v>
      </c>
      <c r="D11" s="29" t="s">
        <v>25</v>
      </c>
      <c r="E11" s="30">
        <v>50</v>
      </c>
      <c r="F11" s="30">
        <f t="shared" si="0"/>
        <v>0</v>
      </c>
      <c r="G11" s="31" t="s">
        <v>7</v>
      </c>
      <c r="H11" s="32" t="s">
        <v>15</v>
      </c>
      <c r="J11" s="6">
        <f t="shared" si="1"/>
        <v>2</v>
      </c>
      <c r="K11" s="22">
        <v>50</v>
      </c>
      <c r="L11" s="22">
        <f t="shared" ref="L11:L33" si="3">E11</f>
        <v>50</v>
      </c>
      <c r="M11" s="22">
        <v>43</v>
      </c>
      <c r="N11" s="22">
        <v>57</v>
      </c>
      <c r="O11" s="22">
        <v>40</v>
      </c>
      <c r="P11" s="22">
        <v>60</v>
      </c>
    </row>
    <row r="12" spans="1:16" ht="20.149999999999999" customHeight="1" x14ac:dyDescent="0.45">
      <c r="A12" s="29">
        <v>3</v>
      </c>
      <c r="B12" s="27">
        <v>44653</v>
      </c>
      <c r="C12" s="27" t="s">
        <v>50</v>
      </c>
      <c r="D12" s="29" t="s">
        <v>24</v>
      </c>
      <c r="E12" s="30">
        <v>53</v>
      </c>
      <c r="F12" s="30">
        <f t="shared" si="0"/>
        <v>3</v>
      </c>
      <c r="G12" s="31" t="s">
        <v>7</v>
      </c>
      <c r="H12" s="32" t="s">
        <v>15</v>
      </c>
      <c r="J12" s="6">
        <f t="shared" si="1"/>
        <v>3</v>
      </c>
      <c r="K12" s="22">
        <v>50</v>
      </c>
      <c r="L12" s="22">
        <f t="shared" si="3"/>
        <v>53</v>
      </c>
      <c r="M12" s="22">
        <v>43</v>
      </c>
      <c r="N12" s="22">
        <v>57</v>
      </c>
      <c r="O12" s="22">
        <v>40</v>
      </c>
      <c r="P12" s="22">
        <v>60</v>
      </c>
    </row>
    <row r="13" spans="1:16" ht="20.149999999999999" customHeight="1" x14ac:dyDescent="0.45">
      <c r="A13" s="29">
        <v>4</v>
      </c>
      <c r="B13" s="27">
        <v>44653</v>
      </c>
      <c r="C13" s="27" t="s">
        <v>50</v>
      </c>
      <c r="D13" s="29" t="s">
        <v>25</v>
      </c>
      <c r="E13" s="30">
        <v>53</v>
      </c>
      <c r="F13" s="30">
        <f t="shared" si="0"/>
        <v>3</v>
      </c>
      <c r="G13" s="31" t="s">
        <v>7</v>
      </c>
      <c r="H13" s="32" t="s">
        <v>15</v>
      </c>
      <c r="J13" s="6">
        <f t="shared" si="1"/>
        <v>4</v>
      </c>
      <c r="K13" s="22">
        <v>50</v>
      </c>
      <c r="L13" s="22">
        <f t="shared" si="3"/>
        <v>53</v>
      </c>
      <c r="M13" s="22">
        <v>43</v>
      </c>
      <c r="N13" s="22">
        <v>57</v>
      </c>
      <c r="O13" s="22">
        <v>40</v>
      </c>
      <c r="P13" s="22">
        <v>60</v>
      </c>
    </row>
    <row r="14" spans="1:16" ht="20.149999999999999" customHeight="1" x14ac:dyDescent="0.45">
      <c r="A14" s="29">
        <v>5</v>
      </c>
      <c r="B14" s="27">
        <v>44655</v>
      </c>
      <c r="C14" s="27" t="s">
        <v>51</v>
      </c>
      <c r="D14" s="29" t="s">
        <v>24</v>
      </c>
      <c r="E14" s="30">
        <v>50</v>
      </c>
      <c r="F14" s="30">
        <f t="shared" si="0"/>
        <v>0</v>
      </c>
      <c r="G14" s="31" t="s">
        <v>7</v>
      </c>
      <c r="H14" s="32" t="s">
        <v>15</v>
      </c>
      <c r="J14" s="6">
        <f t="shared" si="1"/>
        <v>5</v>
      </c>
      <c r="K14" s="22">
        <v>50</v>
      </c>
      <c r="L14" s="22">
        <f t="shared" si="3"/>
        <v>50</v>
      </c>
      <c r="M14" s="22">
        <v>43</v>
      </c>
      <c r="N14" s="22">
        <v>57</v>
      </c>
      <c r="O14" s="22">
        <v>40</v>
      </c>
      <c r="P14" s="22">
        <v>60</v>
      </c>
    </row>
    <row r="15" spans="1:16" ht="20.149999999999999" customHeight="1" x14ac:dyDescent="0.45">
      <c r="A15" s="29">
        <v>6</v>
      </c>
      <c r="B15" s="27">
        <v>44655</v>
      </c>
      <c r="C15" s="27" t="s">
        <v>41</v>
      </c>
      <c r="D15" s="29" t="s">
        <v>25</v>
      </c>
      <c r="E15" s="30">
        <v>50</v>
      </c>
      <c r="F15" s="30">
        <f t="shared" si="0"/>
        <v>0</v>
      </c>
      <c r="G15" s="31" t="s">
        <v>7</v>
      </c>
      <c r="H15" s="32" t="s">
        <v>15</v>
      </c>
      <c r="J15" s="6">
        <f t="shared" si="1"/>
        <v>6</v>
      </c>
      <c r="K15" s="22">
        <v>50</v>
      </c>
      <c r="L15" s="22">
        <f t="shared" si="3"/>
        <v>50</v>
      </c>
      <c r="M15" s="22">
        <v>43</v>
      </c>
      <c r="N15" s="22">
        <v>57</v>
      </c>
      <c r="O15" s="22">
        <v>40</v>
      </c>
      <c r="P15" s="22">
        <v>60</v>
      </c>
    </row>
    <row r="16" spans="1:16" ht="20.149999999999999" customHeight="1" x14ac:dyDescent="0.45">
      <c r="A16" s="29">
        <v>7</v>
      </c>
      <c r="B16" s="27">
        <v>44656</v>
      </c>
      <c r="C16" s="27" t="s">
        <v>52</v>
      </c>
      <c r="D16" s="29" t="s">
        <v>24</v>
      </c>
      <c r="E16" s="30">
        <v>49</v>
      </c>
      <c r="F16" s="30">
        <f t="shared" si="0"/>
        <v>-1</v>
      </c>
      <c r="G16" s="31" t="s">
        <v>7</v>
      </c>
      <c r="H16" s="32" t="s">
        <v>15</v>
      </c>
      <c r="J16" s="6">
        <f t="shared" si="1"/>
        <v>7</v>
      </c>
      <c r="K16" s="22">
        <v>50</v>
      </c>
      <c r="L16" s="22">
        <f t="shared" si="3"/>
        <v>49</v>
      </c>
      <c r="M16" s="22">
        <v>43</v>
      </c>
      <c r="N16" s="22">
        <v>57</v>
      </c>
      <c r="O16" s="22">
        <v>40</v>
      </c>
      <c r="P16" s="22">
        <v>60</v>
      </c>
    </row>
    <row r="17" spans="1:16" ht="20.149999999999999" customHeight="1" x14ac:dyDescent="0.45">
      <c r="A17" s="29">
        <v>8</v>
      </c>
      <c r="B17" s="27">
        <v>44656</v>
      </c>
      <c r="C17" s="27" t="s">
        <v>52</v>
      </c>
      <c r="D17" s="29" t="s">
        <v>25</v>
      </c>
      <c r="E17" s="30">
        <v>49</v>
      </c>
      <c r="F17" s="30">
        <f t="shared" si="0"/>
        <v>-1</v>
      </c>
      <c r="G17" s="31" t="s">
        <v>7</v>
      </c>
      <c r="H17" s="32" t="s">
        <v>15</v>
      </c>
      <c r="J17" s="6">
        <f t="shared" si="1"/>
        <v>8</v>
      </c>
      <c r="K17" s="22">
        <v>50</v>
      </c>
      <c r="L17" s="22">
        <f t="shared" si="3"/>
        <v>49</v>
      </c>
      <c r="M17" s="22">
        <v>43</v>
      </c>
      <c r="N17" s="22">
        <v>57</v>
      </c>
      <c r="O17" s="22">
        <v>40</v>
      </c>
      <c r="P17" s="22">
        <v>60</v>
      </c>
    </row>
    <row r="18" spans="1:16" ht="20.149999999999999" customHeight="1" x14ac:dyDescent="0.45">
      <c r="A18" s="29">
        <v>9</v>
      </c>
      <c r="B18" s="27">
        <v>44657</v>
      </c>
      <c r="C18" s="27" t="s">
        <v>53</v>
      </c>
      <c r="D18" s="29" t="s">
        <v>24</v>
      </c>
      <c r="E18" s="30">
        <v>51</v>
      </c>
      <c r="F18" s="30">
        <f t="shared" si="0"/>
        <v>1</v>
      </c>
      <c r="G18" s="31" t="s">
        <v>7</v>
      </c>
      <c r="H18" s="32" t="s">
        <v>15</v>
      </c>
      <c r="J18" s="6">
        <f t="shared" si="1"/>
        <v>9</v>
      </c>
      <c r="K18" s="22">
        <v>50</v>
      </c>
      <c r="L18" s="22">
        <f t="shared" si="3"/>
        <v>51</v>
      </c>
      <c r="M18" s="22">
        <v>43</v>
      </c>
      <c r="N18" s="22">
        <v>57</v>
      </c>
      <c r="O18" s="22">
        <v>40</v>
      </c>
      <c r="P18" s="22">
        <v>60</v>
      </c>
    </row>
    <row r="19" spans="1:16" ht="20.149999999999999" customHeight="1" x14ac:dyDescent="0.45">
      <c r="A19" s="29">
        <v>10</v>
      </c>
      <c r="B19" s="27">
        <v>44657</v>
      </c>
      <c r="C19" s="27" t="s">
        <v>53</v>
      </c>
      <c r="D19" s="29" t="s">
        <v>25</v>
      </c>
      <c r="E19" s="30">
        <v>51</v>
      </c>
      <c r="F19" s="30">
        <f t="shared" si="0"/>
        <v>1</v>
      </c>
      <c r="G19" s="31" t="s">
        <v>7</v>
      </c>
      <c r="H19" s="32" t="s">
        <v>15</v>
      </c>
      <c r="J19" s="6">
        <f t="shared" si="1"/>
        <v>10</v>
      </c>
      <c r="K19" s="22">
        <v>50</v>
      </c>
      <c r="L19" s="22">
        <f t="shared" si="3"/>
        <v>51</v>
      </c>
      <c r="M19" s="22">
        <v>43</v>
      </c>
      <c r="N19" s="22">
        <v>57</v>
      </c>
      <c r="O19" s="22">
        <v>40</v>
      </c>
      <c r="P19" s="22">
        <v>60</v>
      </c>
    </row>
    <row r="20" spans="1:16" ht="23.25" customHeight="1" x14ac:dyDescent="0.45">
      <c r="A20" s="29">
        <v>11</v>
      </c>
      <c r="B20" s="27">
        <v>44658</v>
      </c>
      <c r="C20" s="27" t="s">
        <v>54</v>
      </c>
      <c r="D20" s="29" t="s">
        <v>24</v>
      </c>
      <c r="E20" s="30">
        <v>48</v>
      </c>
      <c r="F20" s="30">
        <f t="shared" si="0"/>
        <v>-2</v>
      </c>
      <c r="G20" s="31" t="s">
        <v>7</v>
      </c>
      <c r="H20" s="32" t="s">
        <v>15</v>
      </c>
      <c r="J20" s="6">
        <f t="shared" si="1"/>
        <v>11</v>
      </c>
      <c r="K20" s="22">
        <v>50</v>
      </c>
      <c r="L20" s="22">
        <f t="shared" si="3"/>
        <v>48</v>
      </c>
      <c r="M20" s="22">
        <v>43</v>
      </c>
      <c r="N20" s="22">
        <v>57</v>
      </c>
      <c r="O20" s="22">
        <v>40</v>
      </c>
      <c r="P20" s="22">
        <v>60</v>
      </c>
    </row>
    <row r="21" spans="1:16" ht="23.25" customHeight="1" x14ac:dyDescent="0.45">
      <c r="A21" s="29">
        <v>12</v>
      </c>
      <c r="B21" s="27">
        <v>44658</v>
      </c>
      <c r="C21" s="27" t="s">
        <v>54</v>
      </c>
      <c r="D21" s="29" t="s">
        <v>46</v>
      </c>
      <c r="E21" s="30">
        <v>48</v>
      </c>
      <c r="F21" s="30">
        <f t="shared" si="0"/>
        <v>-2</v>
      </c>
      <c r="G21" s="31" t="s">
        <v>7</v>
      </c>
      <c r="H21" s="32" t="s">
        <v>15</v>
      </c>
      <c r="J21" s="6">
        <f t="shared" si="1"/>
        <v>12</v>
      </c>
      <c r="K21" s="22">
        <v>50</v>
      </c>
      <c r="L21" s="22">
        <f t="shared" si="3"/>
        <v>48</v>
      </c>
      <c r="M21" s="22">
        <v>43</v>
      </c>
      <c r="N21" s="22">
        <v>57</v>
      </c>
      <c r="O21" s="22">
        <v>40</v>
      </c>
      <c r="P21" s="22">
        <v>60</v>
      </c>
    </row>
    <row r="22" spans="1:16" ht="20.149999999999999" customHeight="1" x14ac:dyDescent="0.45">
      <c r="A22" s="29">
        <v>13</v>
      </c>
      <c r="B22" s="27">
        <v>44659</v>
      </c>
      <c r="C22" s="27" t="s">
        <v>55</v>
      </c>
      <c r="D22" s="29" t="s">
        <v>24</v>
      </c>
      <c r="E22" s="30">
        <v>49</v>
      </c>
      <c r="F22" s="30">
        <f t="shared" si="0"/>
        <v>-1</v>
      </c>
      <c r="G22" s="31" t="s">
        <v>7</v>
      </c>
      <c r="H22" s="32" t="s">
        <v>15</v>
      </c>
      <c r="J22" s="6">
        <f t="shared" si="1"/>
        <v>13</v>
      </c>
      <c r="K22" s="22">
        <v>50</v>
      </c>
      <c r="L22" s="22">
        <f t="shared" si="3"/>
        <v>49</v>
      </c>
      <c r="M22" s="22">
        <v>43</v>
      </c>
      <c r="N22" s="22">
        <v>57</v>
      </c>
      <c r="O22" s="22">
        <v>40</v>
      </c>
      <c r="P22" s="22">
        <v>60</v>
      </c>
    </row>
    <row r="23" spans="1:16" ht="20.149999999999999" customHeight="1" x14ac:dyDescent="0.45">
      <c r="A23" s="29">
        <v>14</v>
      </c>
      <c r="B23" s="27">
        <v>44659</v>
      </c>
      <c r="C23" s="27" t="s">
        <v>55</v>
      </c>
      <c r="D23" s="29" t="s">
        <v>25</v>
      </c>
      <c r="E23" s="30">
        <v>49</v>
      </c>
      <c r="F23" s="30">
        <f t="shared" si="0"/>
        <v>-1</v>
      </c>
      <c r="G23" s="31" t="s">
        <v>7</v>
      </c>
      <c r="H23" s="32" t="s">
        <v>15</v>
      </c>
      <c r="J23" s="6">
        <f t="shared" si="1"/>
        <v>14</v>
      </c>
      <c r="K23" s="22">
        <v>50</v>
      </c>
      <c r="L23" s="22">
        <f t="shared" si="3"/>
        <v>49</v>
      </c>
      <c r="M23" s="22">
        <v>43</v>
      </c>
      <c r="N23" s="22">
        <v>57</v>
      </c>
      <c r="O23" s="22">
        <v>40</v>
      </c>
      <c r="P23" s="22">
        <v>60</v>
      </c>
    </row>
    <row r="24" spans="1:16" ht="20.149999999999999" customHeight="1" x14ac:dyDescent="0.45">
      <c r="A24" s="29">
        <v>15</v>
      </c>
      <c r="B24" s="27">
        <v>44660</v>
      </c>
      <c r="C24" s="27" t="s">
        <v>50</v>
      </c>
      <c r="D24" s="29" t="s">
        <v>24</v>
      </c>
      <c r="E24" s="30">
        <v>50</v>
      </c>
      <c r="F24" s="30">
        <f t="shared" si="0"/>
        <v>0</v>
      </c>
      <c r="G24" s="31" t="s">
        <v>7</v>
      </c>
      <c r="H24" s="32" t="s">
        <v>15</v>
      </c>
      <c r="J24" s="6">
        <f t="shared" si="1"/>
        <v>15</v>
      </c>
      <c r="K24" s="22">
        <v>50</v>
      </c>
      <c r="L24" s="22">
        <f t="shared" si="3"/>
        <v>50</v>
      </c>
      <c r="M24" s="22">
        <v>43</v>
      </c>
      <c r="N24" s="22">
        <v>57</v>
      </c>
      <c r="O24" s="22">
        <v>40</v>
      </c>
      <c r="P24" s="22">
        <v>60</v>
      </c>
    </row>
    <row r="25" spans="1:16" ht="20.149999999999999" customHeight="1" x14ac:dyDescent="0.45">
      <c r="A25" s="29">
        <v>16</v>
      </c>
      <c r="B25" s="27">
        <v>44660</v>
      </c>
      <c r="C25" s="27" t="s">
        <v>50</v>
      </c>
      <c r="D25" s="29" t="s">
        <v>25</v>
      </c>
      <c r="E25" s="30">
        <v>50</v>
      </c>
      <c r="F25" s="30">
        <f t="shared" si="0"/>
        <v>0</v>
      </c>
      <c r="G25" s="31" t="s">
        <v>7</v>
      </c>
      <c r="H25" s="32" t="s">
        <v>15</v>
      </c>
      <c r="J25" s="6">
        <f t="shared" si="1"/>
        <v>16</v>
      </c>
      <c r="K25" s="22">
        <v>50</v>
      </c>
      <c r="L25" s="22">
        <f t="shared" si="3"/>
        <v>50</v>
      </c>
      <c r="M25" s="22">
        <v>43</v>
      </c>
      <c r="N25" s="22">
        <v>57</v>
      </c>
      <c r="O25" s="22">
        <v>40</v>
      </c>
      <c r="P25" s="22">
        <v>60</v>
      </c>
    </row>
    <row r="26" spans="1:16" ht="20.149999999999999" customHeight="1" x14ac:dyDescent="0.45">
      <c r="A26" s="29">
        <v>17</v>
      </c>
      <c r="B26" s="27">
        <v>44662</v>
      </c>
      <c r="C26" s="27" t="s">
        <v>51</v>
      </c>
      <c r="D26" s="29" t="s">
        <v>24</v>
      </c>
      <c r="E26" s="30">
        <v>52</v>
      </c>
      <c r="F26" s="30">
        <f t="shared" si="0"/>
        <v>2</v>
      </c>
      <c r="G26" s="31" t="s">
        <v>7</v>
      </c>
      <c r="H26" s="32" t="s">
        <v>15</v>
      </c>
      <c r="J26" s="6">
        <f t="shared" si="1"/>
        <v>17</v>
      </c>
      <c r="K26" s="22">
        <v>50</v>
      </c>
      <c r="L26" s="22">
        <f t="shared" si="3"/>
        <v>52</v>
      </c>
      <c r="M26" s="22">
        <v>43</v>
      </c>
      <c r="N26" s="22">
        <v>57</v>
      </c>
      <c r="O26" s="22">
        <v>40</v>
      </c>
      <c r="P26" s="22">
        <v>60</v>
      </c>
    </row>
    <row r="27" spans="1:16" ht="20.149999999999999" customHeight="1" x14ac:dyDescent="0.45">
      <c r="A27" s="29">
        <v>18</v>
      </c>
      <c r="B27" s="27">
        <v>44662</v>
      </c>
      <c r="C27" s="27" t="s">
        <v>51</v>
      </c>
      <c r="D27" s="29" t="s">
        <v>25</v>
      </c>
      <c r="E27" s="30">
        <v>52</v>
      </c>
      <c r="F27" s="30">
        <f t="shared" si="0"/>
        <v>2</v>
      </c>
      <c r="G27" s="31" t="s">
        <v>7</v>
      </c>
      <c r="H27" s="32" t="s">
        <v>15</v>
      </c>
      <c r="J27" s="6">
        <f t="shared" si="1"/>
        <v>18</v>
      </c>
      <c r="K27" s="22">
        <v>50</v>
      </c>
      <c r="L27" s="22">
        <f t="shared" si="3"/>
        <v>52</v>
      </c>
      <c r="M27" s="22">
        <v>43</v>
      </c>
      <c r="N27" s="22">
        <v>57</v>
      </c>
      <c r="O27" s="22">
        <v>40</v>
      </c>
      <c r="P27" s="22">
        <v>60</v>
      </c>
    </row>
    <row r="28" spans="1:16" ht="20.149999999999999" customHeight="1" x14ac:dyDescent="0.45">
      <c r="A28" s="29">
        <v>19</v>
      </c>
      <c r="B28" s="27">
        <v>44663</v>
      </c>
      <c r="C28" s="27" t="s">
        <v>52</v>
      </c>
      <c r="D28" s="29" t="s">
        <v>24</v>
      </c>
      <c r="E28" s="30">
        <v>50</v>
      </c>
      <c r="F28" s="30">
        <f t="shared" si="0"/>
        <v>0</v>
      </c>
      <c r="G28" s="31" t="s">
        <v>7</v>
      </c>
      <c r="H28" s="32" t="s">
        <v>15</v>
      </c>
      <c r="J28" s="6">
        <f t="shared" si="1"/>
        <v>19</v>
      </c>
      <c r="K28" s="22">
        <v>50</v>
      </c>
      <c r="L28" s="22">
        <f t="shared" si="3"/>
        <v>50</v>
      </c>
      <c r="M28" s="22">
        <v>43</v>
      </c>
      <c r="N28" s="22">
        <v>57</v>
      </c>
      <c r="O28" s="22">
        <v>40</v>
      </c>
      <c r="P28" s="22">
        <v>60</v>
      </c>
    </row>
    <row r="29" spans="1:16" ht="20.149999999999999" customHeight="1" x14ac:dyDescent="0.45">
      <c r="A29" s="29">
        <v>20</v>
      </c>
      <c r="B29" s="27">
        <v>44663</v>
      </c>
      <c r="C29" s="27" t="s">
        <v>52</v>
      </c>
      <c r="D29" s="29" t="s">
        <v>25</v>
      </c>
      <c r="E29" s="30">
        <v>50</v>
      </c>
      <c r="F29" s="30">
        <f t="shared" si="0"/>
        <v>0</v>
      </c>
      <c r="G29" s="31" t="s">
        <v>7</v>
      </c>
      <c r="H29" s="32" t="s">
        <v>15</v>
      </c>
      <c r="J29" s="6">
        <f t="shared" si="1"/>
        <v>20</v>
      </c>
      <c r="K29" s="22">
        <v>50</v>
      </c>
      <c r="L29" s="22">
        <f t="shared" si="3"/>
        <v>50</v>
      </c>
      <c r="M29" s="22">
        <v>43</v>
      </c>
      <c r="N29" s="22">
        <v>57</v>
      </c>
      <c r="O29" s="22">
        <v>40</v>
      </c>
      <c r="P29" s="22">
        <v>60</v>
      </c>
    </row>
    <row r="30" spans="1:16" ht="20.149999999999999" customHeight="1" x14ac:dyDescent="0.45">
      <c r="A30" s="29">
        <v>21</v>
      </c>
      <c r="B30" s="27">
        <v>44664</v>
      </c>
      <c r="C30" s="27" t="s">
        <v>53</v>
      </c>
      <c r="D30" s="29" t="s">
        <v>24</v>
      </c>
      <c r="E30" s="30">
        <v>53</v>
      </c>
      <c r="F30" s="30">
        <f t="shared" si="0"/>
        <v>3</v>
      </c>
      <c r="G30" s="31" t="s">
        <v>7</v>
      </c>
      <c r="H30" s="32" t="s">
        <v>15</v>
      </c>
      <c r="J30" s="6">
        <f t="shared" si="1"/>
        <v>21</v>
      </c>
      <c r="K30" s="22">
        <v>50</v>
      </c>
      <c r="L30" s="22">
        <f t="shared" si="3"/>
        <v>53</v>
      </c>
      <c r="M30" s="22">
        <v>43</v>
      </c>
      <c r="N30" s="22">
        <v>57</v>
      </c>
      <c r="O30" s="22">
        <v>40</v>
      </c>
      <c r="P30" s="22">
        <v>60</v>
      </c>
    </row>
    <row r="31" spans="1:16" ht="20.149999999999999" customHeight="1" x14ac:dyDescent="0.45">
      <c r="A31" s="29">
        <v>22</v>
      </c>
      <c r="B31" s="27">
        <v>44664</v>
      </c>
      <c r="C31" s="27" t="s">
        <v>53</v>
      </c>
      <c r="D31" s="29" t="s">
        <v>25</v>
      </c>
      <c r="E31" s="30">
        <v>53</v>
      </c>
      <c r="F31" s="30">
        <f t="shared" si="0"/>
        <v>3</v>
      </c>
      <c r="G31" s="31" t="s">
        <v>7</v>
      </c>
      <c r="H31" s="32" t="s">
        <v>15</v>
      </c>
      <c r="J31" s="6">
        <f t="shared" si="1"/>
        <v>22</v>
      </c>
      <c r="K31" s="22">
        <v>50</v>
      </c>
      <c r="L31" s="22">
        <f t="shared" si="3"/>
        <v>53</v>
      </c>
      <c r="M31" s="22">
        <v>43</v>
      </c>
      <c r="N31" s="22">
        <v>57</v>
      </c>
      <c r="O31" s="22">
        <v>40</v>
      </c>
      <c r="P31" s="22">
        <v>60</v>
      </c>
    </row>
    <row r="32" spans="1:16" ht="20.149999999999999" customHeight="1" x14ac:dyDescent="0.45">
      <c r="A32" s="29">
        <v>23</v>
      </c>
      <c r="B32" s="27">
        <v>44665</v>
      </c>
      <c r="C32" s="27" t="s">
        <v>56</v>
      </c>
      <c r="D32" s="29" t="s">
        <v>24</v>
      </c>
      <c r="E32" s="30">
        <v>53</v>
      </c>
      <c r="F32" s="30">
        <f t="shared" si="0"/>
        <v>3</v>
      </c>
      <c r="G32" s="31" t="s">
        <v>7</v>
      </c>
      <c r="H32" s="32" t="s">
        <v>15</v>
      </c>
      <c r="J32" s="6">
        <f t="shared" si="1"/>
        <v>23</v>
      </c>
      <c r="K32" s="22">
        <v>50</v>
      </c>
      <c r="L32" s="22">
        <f t="shared" si="3"/>
        <v>53</v>
      </c>
      <c r="M32" s="22">
        <v>43</v>
      </c>
      <c r="N32" s="22">
        <v>57</v>
      </c>
      <c r="O32" s="22">
        <v>40</v>
      </c>
      <c r="P32" s="22">
        <v>60</v>
      </c>
    </row>
    <row r="33" spans="1:16" ht="20.149999999999999" customHeight="1" x14ac:dyDescent="0.45">
      <c r="A33" s="29">
        <v>24</v>
      </c>
      <c r="B33" s="27">
        <v>44665</v>
      </c>
      <c r="C33" s="27" t="s">
        <v>56</v>
      </c>
      <c r="D33" s="29" t="s">
        <v>25</v>
      </c>
      <c r="E33" s="30">
        <v>53</v>
      </c>
      <c r="F33" s="30">
        <f t="shared" si="0"/>
        <v>3</v>
      </c>
      <c r="G33" s="31" t="s">
        <v>7</v>
      </c>
      <c r="H33" s="32" t="s">
        <v>15</v>
      </c>
      <c r="J33" s="6">
        <f t="shared" si="1"/>
        <v>24</v>
      </c>
      <c r="K33" s="22">
        <v>50</v>
      </c>
      <c r="L33" s="22">
        <f t="shared" si="3"/>
        <v>53</v>
      </c>
      <c r="M33" s="22">
        <v>43</v>
      </c>
      <c r="N33" s="22">
        <v>57</v>
      </c>
      <c r="O33" s="22">
        <v>40</v>
      </c>
      <c r="P33" s="22">
        <v>60</v>
      </c>
    </row>
    <row r="34" spans="1:16" ht="20.149999999999999" customHeight="1" x14ac:dyDescent="0.45">
      <c r="A34" s="29">
        <v>25</v>
      </c>
      <c r="B34" s="27">
        <v>44666</v>
      </c>
      <c r="C34" s="27" t="s">
        <v>55</v>
      </c>
      <c r="D34" s="29" t="s">
        <v>24</v>
      </c>
      <c r="E34" s="30">
        <v>49</v>
      </c>
      <c r="F34" s="30">
        <f t="shared" ref="F34" si="4">E34-$B$5</f>
        <v>-1</v>
      </c>
      <c r="G34" s="31" t="s">
        <v>7</v>
      </c>
      <c r="H34" s="32" t="s">
        <v>15</v>
      </c>
      <c r="J34" s="6">
        <f t="shared" ref="J34" si="5">A34</f>
        <v>25</v>
      </c>
      <c r="K34" s="22">
        <v>50</v>
      </c>
      <c r="L34" s="22">
        <f t="shared" ref="L34" si="6">E34</f>
        <v>49</v>
      </c>
      <c r="M34" s="22">
        <v>43</v>
      </c>
      <c r="N34" s="22">
        <v>57</v>
      </c>
      <c r="O34" s="22">
        <v>40</v>
      </c>
      <c r="P34" s="22">
        <v>60</v>
      </c>
    </row>
    <row r="35" spans="1:16" ht="20.149999999999999" customHeight="1" x14ac:dyDescent="0.45">
      <c r="A35" s="29">
        <v>26</v>
      </c>
      <c r="B35" s="27">
        <v>44666</v>
      </c>
      <c r="C35" s="27" t="s">
        <v>55</v>
      </c>
      <c r="D35" s="29" t="s">
        <v>25</v>
      </c>
      <c r="E35" s="30">
        <v>49</v>
      </c>
      <c r="F35" s="30">
        <f t="shared" ref="F35" si="7">E35-$B$5</f>
        <v>-1</v>
      </c>
      <c r="G35" s="31" t="s">
        <v>7</v>
      </c>
      <c r="H35" s="32" t="s">
        <v>15</v>
      </c>
      <c r="J35" s="6">
        <f t="shared" ref="J35" si="8">A35</f>
        <v>26</v>
      </c>
      <c r="K35" s="22">
        <v>50</v>
      </c>
      <c r="L35" s="22">
        <f t="shared" ref="L35" si="9">E35</f>
        <v>49</v>
      </c>
      <c r="M35" s="22">
        <v>43</v>
      </c>
      <c r="N35" s="22">
        <v>57</v>
      </c>
      <c r="O35" s="22">
        <v>40</v>
      </c>
      <c r="P35" s="22">
        <v>60</v>
      </c>
    </row>
    <row r="36" spans="1:16" ht="20.149999999999999" customHeight="1" x14ac:dyDescent="0.45">
      <c r="A36" s="27" t="s">
        <v>47</v>
      </c>
      <c r="B36" s="50">
        <f>AVERAGE(E10:E35)</f>
        <v>50.53846153846154</v>
      </c>
      <c r="C36" s="27" t="s">
        <v>57</v>
      </c>
      <c r="D36" s="49">
        <v>57</v>
      </c>
      <c r="E36" s="30" t="s">
        <v>48</v>
      </c>
      <c r="F36" s="49">
        <v>48</v>
      </c>
      <c r="G36" s="49"/>
      <c r="H36" s="32" t="s">
        <v>15</v>
      </c>
      <c r="K36" s="22"/>
      <c r="L36" s="22"/>
      <c r="M36" s="22"/>
      <c r="N36" s="22"/>
      <c r="O36" s="22"/>
      <c r="P36" s="22"/>
    </row>
    <row r="37" spans="1:16" ht="28.5" customHeight="1" x14ac:dyDescent="0.45">
      <c r="A37" s="36"/>
      <c r="B37" s="34"/>
      <c r="C37" s="34"/>
      <c r="D37" s="35"/>
      <c r="E37" s="35"/>
      <c r="F37" s="35"/>
      <c r="G37" s="35"/>
      <c r="H37" s="35"/>
      <c r="K37" s="22"/>
      <c r="L37" s="22"/>
      <c r="M37" s="22"/>
      <c r="N37" s="22"/>
      <c r="O37" s="22"/>
      <c r="P37" s="22"/>
    </row>
    <row r="38" spans="1:16" ht="20.149999999999999" customHeight="1" x14ac:dyDescent="0.45">
      <c r="A38" s="33" t="s">
        <v>8</v>
      </c>
      <c r="B38" s="34"/>
      <c r="C38" s="34"/>
      <c r="D38" s="36" t="s">
        <v>1</v>
      </c>
      <c r="E38" s="36"/>
      <c r="F38" s="34"/>
      <c r="G38" s="36" t="s">
        <v>2</v>
      </c>
      <c r="H38" s="36" t="s">
        <v>3</v>
      </c>
      <c r="K38" s="22"/>
      <c r="L38" s="22"/>
      <c r="M38" s="22"/>
      <c r="N38" s="22"/>
      <c r="O38" s="22"/>
      <c r="P38" s="22"/>
    </row>
    <row r="39" spans="1:16" ht="20.149999999999999" customHeight="1" x14ac:dyDescent="0.45">
      <c r="A39" s="34"/>
      <c r="K39" s="22"/>
      <c r="L39" s="22"/>
      <c r="M39" s="22"/>
      <c r="N39" s="22"/>
      <c r="O39" s="22"/>
      <c r="P39" s="22"/>
    </row>
    <row r="40" spans="1:16" ht="20.149999999999999" customHeight="1" x14ac:dyDescent="0.45">
      <c r="F40" s="24"/>
      <c r="K40" s="22"/>
      <c r="L40" s="22"/>
      <c r="M40" s="22"/>
      <c r="N40" s="22"/>
      <c r="O40" s="22"/>
      <c r="P40" s="22"/>
    </row>
    <row r="41" spans="1:16" ht="20.149999999999999" customHeight="1" x14ac:dyDescent="0.45">
      <c r="A41" s="23" t="s">
        <v>14</v>
      </c>
      <c r="D41" s="25" t="s">
        <v>1</v>
      </c>
      <c r="E41" s="25"/>
      <c r="G41" s="25" t="s">
        <v>2</v>
      </c>
      <c r="H41" s="25" t="s">
        <v>3</v>
      </c>
      <c r="K41" s="22"/>
      <c r="L41" s="22"/>
      <c r="M41" s="22"/>
      <c r="N41" s="22"/>
      <c r="O41" s="22"/>
      <c r="P41" s="22"/>
    </row>
    <row r="42" spans="1:16" ht="15.75" customHeight="1" x14ac:dyDescent="0.45">
      <c r="K42" s="22"/>
      <c r="L42" s="22"/>
      <c r="M42" s="22"/>
      <c r="N42" s="22"/>
      <c r="O42" s="22"/>
      <c r="P42" s="22"/>
    </row>
    <row r="43" spans="1:16" ht="12" customHeight="1" x14ac:dyDescent="0.45">
      <c r="D43" s="24"/>
      <c r="E43" s="24"/>
      <c r="F43" s="24"/>
      <c r="G43" s="24"/>
      <c r="H43" s="24"/>
      <c r="K43" s="22"/>
      <c r="L43" s="22"/>
      <c r="M43" s="22"/>
      <c r="N43" s="22"/>
      <c r="O43" s="22"/>
      <c r="P43" s="22"/>
    </row>
    <row r="44" spans="1:16" ht="31.5" customHeight="1" x14ac:dyDescent="0.45">
      <c r="A44" s="23" t="s">
        <v>18</v>
      </c>
      <c r="D44" s="24"/>
      <c r="E44" s="24"/>
      <c r="F44" s="24"/>
      <c r="G44" s="24"/>
      <c r="H44" s="24"/>
      <c r="K44" s="22"/>
      <c r="L44" s="22"/>
      <c r="M44" s="22"/>
      <c r="N44" s="22"/>
      <c r="O44" s="22"/>
      <c r="P44" s="22"/>
    </row>
    <row r="45" spans="1:16" ht="34.5" customHeight="1" x14ac:dyDescent="0.45">
      <c r="D45" s="24"/>
      <c r="E45" s="24"/>
      <c r="F45" s="24"/>
      <c r="K45" s="22"/>
      <c r="L45" s="22"/>
      <c r="M45" s="22"/>
      <c r="N45" s="22"/>
      <c r="O45" s="22"/>
      <c r="P45" s="22"/>
    </row>
    <row r="46" spans="1:16" ht="20.149999999999999" customHeight="1" x14ac:dyDescent="0.45">
      <c r="G46" s="25" t="s">
        <v>2</v>
      </c>
      <c r="H46" s="25" t="s">
        <v>3</v>
      </c>
      <c r="K46" s="22"/>
      <c r="L46" s="22"/>
      <c r="M46" s="22"/>
      <c r="N46" s="22"/>
      <c r="O46" s="22"/>
      <c r="P46" s="22"/>
    </row>
    <row r="47" spans="1:16" ht="20.149999999999999" customHeight="1" thickBot="1" x14ac:dyDescent="0.5">
      <c r="K47" s="22"/>
      <c r="L47" s="22"/>
      <c r="M47" s="22"/>
      <c r="N47" s="22"/>
      <c r="O47" s="22"/>
      <c r="P47" s="22"/>
    </row>
    <row r="48" spans="1:16" s="42" customFormat="1" ht="16.5" thickBot="1" x14ac:dyDescent="0.5">
      <c r="B48" s="44" t="s">
        <v>43</v>
      </c>
      <c r="C48" s="6"/>
    </row>
    <row r="49" spans="1:16" s="42" customFormat="1" ht="16.5" thickBot="1" x14ac:dyDescent="0.5">
      <c r="A49" s="43" t="s">
        <v>42</v>
      </c>
      <c r="B49" s="6"/>
      <c r="D49" s="45" t="s">
        <v>44</v>
      </c>
      <c r="E49" s="44">
        <v>0</v>
      </c>
      <c r="F49" s="45" t="s">
        <v>45</v>
      </c>
      <c r="G49" s="46">
        <v>43836</v>
      </c>
      <c r="H49" s="47" t="s">
        <v>0</v>
      </c>
    </row>
    <row r="50" spans="1:16" ht="0.75" customHeight="1" x14ac:dyDescent="0.45">
      <c r="C50" s="44"/>
      <c r="K50" s="22"/>
      <c r="L50" s="22"/>
      <c r="M50" s="22"/>
      <c r="N50" s="22"/>
      <c r="O50" s="22"/>
      <c r="P50" s="22"/>
    </row>
    <row r="51" spans="1:16" ht="20.149999999999999" customHeight="1" x14ac:dyDescent="0.45">
      <c r="K51" s="22"/>
      <c r="L51" s="22"/>
      <c r="M51" s="22"/>
      <c r="N51" s="22"/>
      <c r="O51" s="22"/>
      <c r="P51" s="22"/>
    </row>
    <row r="52" spans="1:16" ht="20.149999999999999" customHeight="1" x14ac:dyDescent="0.45">
      <c r="K52" s="22"/>
      <c r="L52" s="22"/>
      <c r="M52" s="22"/>
      <c r="N52" s="22"/>
      <c r="O52" s="22"/>
      <c r="P52" s="22"/>
    </row>
    <row r="53" spans="1:16" ht="20.149999999999999" customHeight="1" x14ac:dyDescent="0.45">
      <c r="K53" s="22"/>
      <c r="L53" s="22"/>
      <c r="M53" s="22"/>
      <c r="N53" s="22"/>
      <c r="O53" s="22"/>
      <c r="P53" s="22"/>
    </row>
    <row r="54" spans="1:16" ht="20.149999999999999" customHeight="1" x14ac:dyDescent="0.45">
      <c r="K54" s="22"/>
      <c r="L54" s="22"/>
      <c r="M54" s="22"/>
      <c r="N54" s="22"/>
      <c r="O54" s="22"/>
      <c r="P54" s="22"/>
    </row>
    <row r="55" spans="1:16" ht="20.149999999999999" customHeight="1" x14ac:dyDescent="0.45">
      <c r="K55" s="22"/>
      <c r="L55" s="22"/>
      <c r="M55" s="22"/>
      <c r="N55" s="22"/>
      <c r="O55" s="22"/>
      <c r="P55" s="22"/>
    </row>
    <row r="56" spans="1:16" ht="20.149999999999999" customHeight="1" x14ac:dyDescent="0.45">
      <c r="K56" s="22"/>
      <c r="L56" s="22"/>
      <c r="M56" s="22"/>
      <c r="N56" s="22"/>
      <c r="O56" s="22"/>
      <c r="P56" s="22"/>
    </row>
    <row r="57" spans="1:16" ht="20.149999999999999" customHeight="1" x14ac:dyDescent="0.45">
      <c r="K57" s="22"/>
      <c r="L57" s="22"/>
      <c r="M57" s="22"/>
      <c r="N57" s="22"/>
      <c r="O57" s="22"/>
      <c r="P57" s="22"/>
    </row>
    <row r="58" spans="1:16" ht="20.149999999999999" customHeight="1" x14ac:dyDescent="0.45">
      <c r="K58" s="22"/>
      <c r="L58" s="22"/>
      <c r="M58" s="22"/>
      <c r="N58" s="22"/>
      <c r="O58" s="22"/>
      <c r="P58" s="22"/>
    </row>
    <row r="59" spans="1:16" ht="20.149999999999999" customHeight="1" x14ac:dyDescent="0.45">
      <c r="K59" s="22"/>
      <c r="L59" s="22"/>
      <c r="M59" s="22"/>
      <c r="N59" s="22"/>
      <c r="O59" s="22"/>
      <c r="P59" s="22"/>
    </row>
    <row r="60" spans="1:16" ht="20.149999999999999" customHeight="1" x14ac:dyDescent="0.45">
      <c r="K60" s="22"/>
      <c r="L60" s="22"/>
      <c r="M60" s="22"/>
      <c r="N60" s="22"/>
      <c r="O60" s="22"/>
      <c r="P60" s="22"/>
    </row>
    <row r="61" spans="1:16" ht="20.149999999999999" customHeight="1" x14ac:dyDescent="0.45">
      <c r="K61" s="22"/>
      <c r="L61" s="22"/>
      <c r="M61" s="22"/>
      <c r="N61" s="22"/>
      <c r="O61" s="22"/>
      <c r="P61" s="22"/>
    </row>
    <row r="62" spans="1:16" ht="20.149999999999999" customHeight="1" x14ac:dyDescent="0.45">
      <c r="K62" s="22"/>
      <c r="L62" s="22"/>
      <c r="M62" s="22"/>
      <c r="N62" s="22"/>
      <c r="O62" s="22"/>
      <c r="P62" s="22"/>
    </row>
    <row r="63" spans="1:16" ht="68.25" customHeight="1" x14ac:dyDescent="0.45"/>
    <row r="64" spans="1:16" ht="20.149999999999999" customHeight="1" x14ac:dyDescent="0.45"/>
    <row r="65" ht="23.25" customHeight="1" x14ac:dyDescent="0.45"/>
  </sheetData>
  <mergeCells count="1">
    <mergeCell ref="D1:F1"/>
  </mergeCells>
  <printOptions horizontalCentered="1"/>
  <pageMargins left="0.95" right="0.7" top="0.5" bottom="0.25" header="0.3" footer="0.3"/>
  <pageSetup paperSize="9" scale="58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tabSelected="1" view="pageBreakPreview" zoomScale="94" zoomScaleNormal="100" zoomScaleSheetLayoutView="94" workbookViewId="0">
      <selection activeCell="G4" sqref="G4"/>
    </sheetView>
  </sheetViews>
  <sheetFormatPr defaultColWidth="9.1796875" defaultRowHeight="16" x14ac:dyDescent="0.45"/>
  <cols>
    <col min="1" max="1" width="20.1796875" style="6" customWidth="1"/>
    <col min="2" max="2" width="15.81640625" style="6" customWidth="1"/>
    <col min="3" max="3" width="15.54296875" style="6" customWidth="1"/>
    <col min="4" max="4" width="12.54296875" style="6" customWidth="1"/>
    <col min="5" max="5" width="16" style="6" customWidth="1"/>
    <col min="6" max="6" width="17.1796875" style="6" customWidth="1"/>
    <col min="7" max="7" width="17" style="6" customWidth="1"/>
    <col min="8" max="8" width="16.54296875" style="6" customWidth="1"/>
    <col min="9" max="9" width="16.1796875" style="6" customWidth="1"/>
    <col min="10" max="16384" width="9.1796875" style="6"/>
  </cols>
  <sheetData>
    <row r="1" spans="1:16" s="42" customFormat="1" ht="21" customHeight="1" x14ac:dyDescent="0.45">
      <c r="A1" s="39"/>
      <c r="B1" s="51"/>
      <c r="C1" s="51"/>
      <c r="D1" s="53" t="s">
        <v>4</v>
      </c>
      <c r="E1" s="53"/>
      <c r="F1" s="53"/>
      <c r="G1" s="40"/>
      <c r="H1" s="41"/>
    </row>
    <row r="2" spans="1:16" x14ac:dyDescent="0.45">
      <c r="A2" s="8"/>
      <c r="B2" s="9"/>
      <c r="C2" s="9"/>
      <c r="D2" s="10"/>
      <c r="E2" s="10"/>
      <c r="F2" s="10"/>
    </row>
    <row r="3" spans="1:16" ht="19.5" customHeight="1" x14ac:dyDescent="0.45">
      <c r="A3" s="11" t="s">
        <v>5</v>
      </c>
      <c r="B3" s="5" t="s">
        <v>58</v>
      </c>
      <c r="C3" s="7"/>
      <c r="D3" s="12"/>
      <c r="E3" s="13" t="s">
        <v>19</v>
      </c>
      <c r="F3" s="5"/>
      <c r="G3" s="14" t="s">
        <v>60</v>
      </c>
      <c r="H3" s="5"/>
    </row>
    <row r="4" spans="1:16" ht="21.75" customHeight="1" x14ac:dyDescent="0.45">
      <c r="A4" s="13" t="s">
        <v>16</v>
      </c>
      <c r="B4" s="5" t="s">
        <v>63</v>
      </c>
      <c r="C4" s="7"/>
      <c r="D4" s="16"/>
      <c r="E4" s="13" t="s">
        <v>17</v>
      </c>
      <c r="F4" s="5"/>
      <c r="G4" s="15" t="s">
        <v>64</v>
      </c>
      <c r="H4" s="5"/>
    </row>
    <row r="5" spans="1:16" x14ac:dyDescent="0.45">
      <c r="A5" s="13" t="s">
        <v>28</v>
      </c>
      <c r="B5" s="5">
        <v>55</v>
      </c>
      <c r="C5" s="7"/>
      <c r="D5" s="18"/>
      <c r="E5" s="13" t="s">
        <v>20</v>
      </c>
      <c r="F5" s="5"/>
      <c r="G5" s="19" t="s">
        <v>39</v>
      </c>
      <c r="H5" s="5"/>
    </row>
    <row r="6" spans="1:16" x14ac:dyDescent="0.45">
      <c r="A6" s="17" t="s">
        <v>29</v>
      </c>
      <c r="B6" s="5">
        <v>50</v>
      </c>
      <c r="C6" s="7"/>
      <c r="D6" s="20"/>
      <c r="E6" s="13" t="s">
        <v>31</v>
      </c>
      <c r="F6" s="5"/>
      <c r="G6" s="19">
        <v>60</v>
      </c>
      <c r="H6" s="5"/>
    </row>
    <row r="7" spans="1:16" x14ac:dyDescent="0.45">
      <c r="A7" s="17" t="s">
        <v>30</v>
      </c>
      <c r="B7" s="5">
        <v>45</v>
      </c>
      <c r="C7" s="7"/>
      <c r="D7" s="20"/>
      <c r="E7" s="13" t="s">
        <v>32</v>
      </c>
      <c r="F7" s="5"/>
      <c r="G7" s="19">
        <v>65</v>
      </c>
      <c r="H7" s="5"/>
    </row>
    <row r="8" spans="1:16" ht="339.75" customHeight="1" x14ac:dyDescent="0.45">
      <c r="D8" s="21"/>
      <c r="F8" s="21"/>
    </row>
    <row r="9" spans="1:16" ht="46.5" customHeight="1" x14ac:dyDescent="0.45">
      <c r="A9" s="1" t="s">
        <v>35</v>
      </c>
      <c r="B9" s="1" t="s">
        <v>3</v>
      </c>
      <c r="C9" s="1" t="s">
        <v>40</v>
      </c>
      <c r="D9" s="1" t="s">
        <v>23</v>
      </c>
      <c r="E9" s="1" t="s">
        <v>33</v>
      </c>
      <c r="F9" s="2" t="s">
        <v>34</v>
      </c>
      <c r="G9" s="26" t="s">
        <v>6</v>
      </c>
      <c r="H9" s="28" t="s">
        <v>22</v>
      </c>
      <c r="J9" s="3" t="s">
        <v>13</v>
      </c>
      <c r="K9" s="4" t="s">
        <v>26</v>
      </c>
      <c r="L9" s="4" t="s">
        <v>27</v>
      </c>
      <c r="M9" s="4" t="s">
        <v>9</v>
      </c>
      <c r="N9" s="4" t="s">
        <v>10</v>
      </c>
      <c r="O9" s="4" t="s">
        <v>11</v>
      </c>
      <c r="P9" s="4" t="s">
        <v>12</v>
      </c>
    </row>
    <row r="10" spans="1:16" ht="20.149999999999999" customHeight="1" x14ac:dyDescent="0.45">
      <c r="A10" s="29">
        <v>1</v>
      </c>
      <c r="B10" s="27">
        <v>44652</v>
      </c>
      <c r="C10" s="27" t="s">
        <v>49</v>
      </c>
      <c r="D10" s="29" t="s">
        <v>24</v>
      </c>
      <c r="E10" s="30">
        <v>50</v>
      </c>
      <c r="F10" s="30">
        <f t="shared" ref="F10:F17" si="0">E10-$B$5</f>
        <v>-5</v>
      </c>
      <c r="G10" s="31" t="s">
        <v>7</v>
      </c>
      <c r="H10" s="32" t="s">
        <v>15</v>
      </c>
      <c r="J10" s="6">
        <f t="shared" ref="J10:J33" si="1">A10</f>
        <v>1</v>
      </c>
      <c r="K10" s="22">
        <v>50</v>
      </c>
      <c r="L10" s="22">
        <f t="shared" ref="L10" si="2">E10</f>
        <v>50</v>
      </c>
      <c r="M10" s="22">
        <v>43</v>
      </c>
      <c r="N10" s="22">
        <v>57</v>
      </c>
      <c r="O10" s="22">
        <v>40</v>
      </c>
      <c r="P10" s="22">
        <v>60</v>
      </c>
    </row>
    <row r="11" spans="1:16" ht="20.149999999999999" customHeight="1" x14ac:dyDescent="0.45">
      <c r="A11" s="29">
        <v>2</v>
      </c>
      <c r="B11" s="27">
        <v>44652</v>
      </c>
      <c r="C11" s="27" t="s">
        <v>49</v>
      </c>
      <c r="D11" s="29" t="s">
        <v>25</v>
      </c>
      <c r="E11" s="30">
        <v>50</v>
      </c>
      <c r="F11" s="30">
        <f t="shared" si="0"/>
        <v>-5</v>
      </c>
      <c r="G11" s="31" t="s">
        <v>7</v>
      </c>
      <c r="H11" s="32" t="s">
        <v>15</v>
      </c>
      <c r="J11" s="6">
        <f t="shared" si="1"/>
        <v>2</v>
      </c>
      <c r="K11" s="22">
        <v>50</v>
      </c>
      <c r="L11" s="22">
        <f t="shared" ref="L11:L33" si="3">E11</f>
        <v>50</v>
      </c>
      <c r="M11" s="22">
        <v>43</v>
      </c>
      <c r="N11" s="22">
        <v>57</v>
      </c>
      <c r="O11" s="22">
        <v>40</v>
      </c>
      <c r="P11" s="22">
        <v>60</v>
      </c>
    </row>
    <row r="12" spans="1:16" ht="20.149999999999999" customHeight="1" x14ac:dyDescent="0.45">
      <c r="A12" s="29">
        <v>3</v>
      </c>
      <c r="B12" s="27">
        <v>44653</v>
      </c>
      <c r="C12" s="27" t="s">
        <v>50</v>
      </c>
      <c r="D12" s="29" t="s">
        <v>24</v>
      </c>
      <c r="E12" s="30">
        <v>48</v>
      </c>
      <c r="F12" s="30">
        <f t="shared" si="0"/>
        <v>-7</v>
      </c>
      <c r="G12" s="31" t="s">
        <v>7</v>
      </c>
      <c r="H12" s="32" t="s">
        <v>15</v>
      </c>
      <c r="J12" s="6">
        <f t="shared" si="1"/>
        <v>3</v>
      </c>
      <c r="K12" s="22">
        <v>50</v>
      </c>
      <c r="L12" s="22">
        <f t="shared" si="3"/>
        <v>48</v>
      </c>
      <c r="M12" s="22">
        <v>43</v>
      </c>
      <c r="N12" s="22">
        <v>57</v>
      </c>
      <c r="O12" s="22">
        <v>40</v>
      </c>
      <c r="P12" s="22">
        <v>60</v>
      </c>
    </row>
    <row r="13" spans="1:16" ht="20.149999999999999" customHeight="1" x14ac:dyDescent="0.45">
      <c r="A13" s="29">
        <v>4</v>
      </c>
      <c r="B13" s="27">
        <v>44653</v>
      </c>
      <c r="C13" s="27" t="s">
        <v>50</v>
      </c>
      <c r="D13" s="29" t="s">
        <v>25</v>
      </c>
      <c r="E13" s="30">
        <v>48</v>
      </c>
      <c r="F13" s="30">
        <f t="shared" si="0"/>
        <v>-7</v>
      </c>
      <c r="G13" s="31" t="s">
        <v>7</v>
      </c>
      <c r="H13" s="32" t="s">
        <v>15</v>
      </c>
      <c r="J13" s="6">
        <f t="shared" si="1"/>
        <v>4</v>
      </c>
      <c r="K13" s="22">
        <v>50</v>
      </c>
      <c r="L13" s="22">
        <f t="shared" si="3"/>
        <v>48</v>
      </c>
      <c r="M13" s="22">
        <v>43</v>
      </c>
      <c r="N13" s="22">
        <v>57</v>
      </c>
      <c r="O13" s="22">
        <v>40</v>
      </c>
      <c r="P13" s="22">
        <v>60</v>
      </c>
    </row>
    <row r="14" spans="1:16" ht="20.149999999999999" customHeight="1" x14ac:dyDescent="0.45">
      <c r="A14" s="29">
        <v>5</v>
      </c>
      <c r="B14" s="27">
        <v>44655</v>
      </c>
      <c r="C14" s="27" t="s">
        <v>51</v>
      </c>
      <c r="D14" s="29" t="s">
        <v>24</v>
      </c>
      <c r="E14" s="30">
        <v>50</v>
      </c>
      <c r="F14" s="30">
        <f t="shared" si="0"/>
        <v>-5</v>
      </c>
      <c r="G14" s="31" t="s">
        <v>7</v>
      </c>
      <c r="H14" s="32" t="s">
        <v>15</v>
      </c>
      <c r="J14" s="6">
        <f t="shared" si="1"/>
        <v>5</v>
      </c>
      <c r="K14" s="22">
        <v>50</v>
      </c>
      <c r="L14" s="22">
        <f t="shared" si="3"/>
        <v>50</v>
      </c>
      <c r="M14" s="22">
        <v>43</v>
      </c>
      <c r="N14" s="22">
        <v>57</v>
      </c>
      <c r="O14" s="22">
        <v>40</v>
      </c>
      <c r="P14" s="22">
        <v>60</v>
      </c>
    </row>
    <row r="15" spans="1:16" ht="20.149999999999999" customHeight="1" x14ac:dyDescent="0.45">
      <c r="A15" s="29">
        <v>6</v>
      </c>
      <c r="B15" s="27">
        <v>44655</v>
      </c>
      <c r="C15" s="27" t="s">
        <v>41</v>
      </c>
      <c r="D15" s="29" t="s">
        <v>25</v>
      </c>
      <c r="E15" s="30">
        <v>50</v>
      </c>
      <c r="F15" s="30">
        <f t="shared" si="0"/>
        <v>-5</v>
      </c>
      <c r="G15" s="31" t="s">
        <v>7</v>
      </c>
      <c r="H15" s="32" t="s">
        <v>15</v>
      </c>
      <c r="J15" s="6">
        <f t="shared" si="1"/>
        <v>6</v>
      </c>
      <c r="K15" s="22">
        <v>50</v>
      </c>
      <c r="L15" s="22">
        <f t="shared" si="3"/>
        <v>50</v>
      </c>
      <c r="M15" s="22">
        <v>43</v>
      </c>
      <c r="N15" s="22">
        <v>57</v>
      </c>
      <c r="O15" s="22">
        <v>40</v>
      </c>
      <c r="P15" s="22">
        <v>60</v>
      </c>
    </row>
    <row r="16" spans="1:16" ht="20.149999999999999" customHeight="1" x14ac:dyDescent="0.45">
      <c r="A16" s="29">
        <v>7</v>
      </c>
      <c r="B16" s="27">
        <v>44656</v>
      </c>
      <c r="C16" s="27" t="s">
        <v>52</v>
      </c>
      <c r="D16" s="29" t="s">
        <v>24</v>
      </c>
      <c r="E16" s="30">
        <v>49</v>
      </c>
      <c r="F16" s="30">
        <f t="shared" si="0"/>
        <v>-6</v>
      </c>
      <c r="G16" s="31" t="s">
        <v>7</v>
      </c>
      <c r="H16" s="32" t="s">
        <v>15</v>
      </c>
      <c r="J16" s="6">
        <f t="shared" si="1"/>
        <v>7</v>
      </c>
      <c r="K16" s="22">
        <v>50</v>
      </c>
      <c r="L16" s="22">
        <f t="shared" si="3"/>
        <v>49</v>
      </c>
      <c r="M16" s="22">
        <v>43</v>
      </c>
      <c r="N16" s="22">
        <v>57</v>
      </c>
      <c r="O16" s="22">
        <v>40</v>
      </c>
      <c r="P16" s="22">
        <v>60</v>
      </c>
    </row>
    <row r="17" spans="1:16" ht="20.149999999999999" customHeight="1" x14ac:dyDescent="0.45">
      <c r="A17" s="29">
        <v>8</v>
      </c>
      <c r="B17" s="27">
        <v>44656</v>
      </c>
      <c r="C17" s="27" t="s">
        <v>52</v>
      </c>
      <c r="D17" s="29" t="s">
        <v>25</v>
      </c>
      <c r="E17" s="30">
        <v>49</v>
      </c>
      <c r="F17" s="30">
        <f t="shared" si="0"/>
        <v>-6</v>
      </c>
      <c r="G17" s="31" t="s">
        <v>7</v>
      </c>
      <c r="H17" s="32" t="s">
        <v>15</v>
      </c>
      <c r="J17" s="6">
        <f t="shared" si="1"/>
        <v>8</v>
      </c>
      <c r="K17" s="22">
        <v>50</v>
      </c>
      <c r="L17" s="22">
        <f t="shared" si="3"/>
        <v>49</v>
      </c>
      <c r="M17" s="22">
        <v>43</v>
      </c>
      <c r="N17" s="22">
        <v>57</v>
      </c>
      <c r="O17" s="22">
        <v>40</v>
      </c>
      <c r="P17" s="22">
        <v>60</v>
      </c>
    </row>
    <row r="18" spans="1:16" ht="20.149999999999999" customHeight="1" x14ac:dyDescent="0.45">
      <c r="A18" s="29">
        <v>9</v>
      </c>
      <c r="B18" s="27">
        <v>44657</v>
      </c>
      <c r="C18" s="27" t="s">
        <v>53</v>
      </c>
      <c r="D18" s="29" t="s">
        <v>24</v>
      </c>
      <c r="E18" s="30">
        <v>51</v>
      </c>
      <c r="F18" s="30">
        <f t="shared" ref="F18:F33" si="4">E18-$B$5</f>
        <v>-4</v>
      </c>
      <c r="G18" s="31" t="s">
        <v>7</v>
      </c>
      <c r="H18" s="32" t="s">
        <v>15</v>
      </c>
      <c r="J18" s="6">
        <f t="shared" si="1"/>
        <v>9</v>
      </c>
      <c r="K18" s="22">
        <v>50</v>
      </c>
      <c r="L18" s="22">
        <f t="shared" si="3"/>
        <v>51</v>
      </c>
      <c r="M18" s="22">
        <v>43</v>
      </c>
      <c r="N18" s="22">
        <v>57</v>
      </c>
      <c r="O18" s="22">
        <v>40</v>
      </c>
      <c r="P18" s="22">
        <v>60</v>
      </c>
    </row>
    <row r="19" spans="1:16" ht="20.149999999999999" customHeight="1" x14ac:dyDescent="0.45">
      <c r="A19" s="29">
        <v>10</v>
      </c>
      <c r="B19" s="27">
        <v>44657</v>
      </c>
      <c r="C19" s="27" t="s">
        <v>53</v>
      </c>
      <c r="D19" s="29" t="s">
        <v>25</v>
      </c>
      <c r="E19" s="30">
        <v>51</v>
      </c>
      <c r="F19" s="30">
        <f t="shared" si="4"/>
        <v>-4</v>
      </c>
      <c r="G19" s="31" t="s">
        <v>7</v>
      </c>
      <c r="H19" s="32" t="s">
        <v>15</v>
      </c>
      <c r="J19" s="6">
        <f t="shared" si="1"/>
        <v>10</v>
      </c>
      <c r="K19" s="22">
        <v>50</v>
      </c>
      <c r="L19" s="22">
        <f t="shared" si="3"/>
        <v>51</v>
      </c>
      <c r="M19" s="22">
        <v>43</v>
      </c>
      <c r="N19" s="22">
        <v>57</v>
      </c>
      <c r="O19" s="22">
        <v>40</v>
      </c>
      <c r="P19" s="22">
        <v>60</v>
      </c>
    </row>
    <row r="20" spans="1:16" ht="19.5" customHeight="1" x14ac:dyDescent="0.45">
      <c r="A20" s="29">
        <v>11</v>
      </c>
      <c r="B20" s="27">
        <v>44658</v>
      </c>
      <c r="C20" s="27" t="s">
        <v>54</v>
      </c>
      <c r="D20" s="29" t="s">
        <v>24</v>
      </c>
      <c r="E20" s="30">
        <v>48</v>
      </c>
      <c r="F20" s="30">
        <f t="shared" si="4"/>
        <v>-7</v>
      </c>
      <c r="G20" s="31" t="s">
        <v>7</v>
      </c>
      <c r="H20" s="32" t="s">
        <v>15</v>
      </c>
      <c r="J20" s="6">
        <f t="shared" si="1"/>
        <v>11</v>
      </c>
      <c r="K20" s="22">
        <v>50</v>
      </c>
      <c r="L20" s="22">
        <f t="shared" si="3"/>
        <v>48</v>
      </c>
      <c r="M20" s="22">
        <v>43</v>
      </c>
      <c r="N20" s="22">
        <v>57</v>
      </c>
      <c r="O20" s="22">
        <v>40</v>
      </c>
      <c r="P20" s="22">
        <v>60</v>
      </c>
    </row>
    <row r="21" spans="1:16" ht="18" customHeight="1" x14ac:dyDescent="0.45">
      <c r="A21" s="29">
        <v>12</v>
      </c>
      <c r="B21" s="27">
        <v>44658</v>
      </c>
      <c r="C21" s="27" t="s">
        <v>54</v>
      </c>
      <c r="D21" s="29" t="s">
        <v>46</v>
      </c>
      <c r="E21" s="30">
        <v>48</v>
      </c>
      <c r="F21" s="30">
        <f t="shared" si="4"/>
        <v>-7</v>
      </c>
      <c r="G21" s="31" t="s">
        <v>7</v>
      </c>
      <c r="H21" s="32" t="s">
        <v>15</v>
      </c>
      <c r="J21" s="6">
        <f t="shared" si="1"/>
        <v>12</v>
      </c>
      <c r="K21" s="22">
        <v>50</v>
      </c>
      <c r="L21" s="22">
        <f t="shared" si="3"/>
        <v>48</v>
      </c>
      <c r="M21" s="22">
        <v>43</v>
      </c>
      <c r="N21" s="22">
        <v>57</v>
      </c>
      <c r="O21" s="22">
        <v>40</v>
      </c>
      <c r="P21" s="22">
        <v>60</v>
      </c>
    </row>
    <row r="22" spans="1:16" ht="20.149999999999999" customHeight="1" x14ac:dyDescent="0.45">
      <c r="A22" s="29">
        <v>13</v>
      </c>
      <c r="B22" s="27">
        <v>44659</v>
      </c>
      <c r="C22" s="27" t="s">
        <v>55</v>
      </c>
      <c r="D22" s="29" t="s">
        <v>24</v>
      </c>
      <c r="E22" s="30">
        <v>49</v>
      </c>
      <c r="F22" s="30">
        <f t="shared" si="4"/>
        <v>-6</v>
      </c>
      <c r="G22" s="31" t="s">
        <v>7</v>
      </c>
      <c r="H22" s="32" t="s">
        <v>15</v>
      </c>
      <c r="J22" s="6">
        <f t="shared" si="1"/>
        <v>13</v>
      </c>
      <c r="K22" s="22">
        <v>50</v>
      </c>
      <c r="L22" s="22">
        <f t="shared" si="3"/>
        <v>49</v>
      </c>
      <c r="M22" s="22">
        <v>43</v>
      </c>
      <c r="N22" s="22">
        <v>57</v>
      </c>
      <c r="O22" s="22">
        <v>40</v>
      </c>
      <c r="P22" s="22">
        <v>60</v>
      </c>
    </row>
    <row r="23" spans="1:16" ht="20.149999999999999" customHeight="1" x14ac:dyDescent="0.45">
      <c r="A23" s="29">
        <v>14</v>
      </c>
      <c r="B23" s="27">
        <v>44659</v>
      </c>
      <c r="C23" s="27" t="s">
        <v>55</v>
      </c>
      <c r="D23" s="29" t="s">
        <v>25</v>
      </c>
      <c r="E23" s="30">
        <v>49</v>
      </c>
      <c r="F23" s="30">
        <f t="shared" si="4"/>
        <v>-6</v>
      </c>
      <c r="G23" s="31" t="s">
        <v>7</v>
      </c>
      <c r="H23" s="32" t="s">
        <v>15</v>
      </c>
      <c r="J23" s="6">
        <f t="shared" si="1"/>
        <v>14</v>
      </c>
      <c r="K23" s="22">
        <v>50</v>
      </c>
      <c r="L23" s="22">
        <f t="shared" si="3"/>
        <v>49</v>
      </c>
      <c r="M23" s="22">
        <v>43</v>
      </c>
      <c r="N23" s="22">
        <v>57</v>
      </c>
      <c r="O23" s="22">
        <v>40</v>
      </c>
      <c r="P23" s="22">
        <v>60</v>
      </c>
    </row>
    <row r="24" spans="1:16" ht="20.149999999999999" customHeight="1" x14ac:dyDescent="0.45">
      <c r="A24" s="29">
        <v>15</v>
      </c>
      <c r="B24" s="27">
        <v>44660</v>
      </c>
      <c r="C24" s="27" t="s">
        <v>50</v>
      </c>
      <c r="D24" s="29" t="s">
        <v>24</v>
      </c>
      <c r="E24" s="30">
        <v>48</v>
      </c>
      <c r="F24" s="30">
        <f t="shared" si="4"/>
        <v>-7</v>
      </c>
      <c r="G24" s="31" t="s">
        <v>7</v>
      </c>
      <c r="H24" s="32" t="s">
        <v>15</v>
      </c>
      <c r="J24" s="6">
        <f t="shared" si="1"/>
        <v>15</v>
      </c>
      <c r="K24" s="22">
        <v>50</v>
      </c>
      <c r="L24" s="22">
        <f t="shared" si="3"/>
        <v>48</v>
      </c>
      <c r="M24" s="22">
        <v>43</v>
      </c>
      <c r="N24" s="22">
        <v>57</v>
      </c>
      <c r="O24" s="22">
        <v>40</v>
      </c>
      <c r="P24" s="22">
        <v>60</v>
      </c>
    </row>
    <row r="25" spans="1:16" ht="20.149999999999999" customHeight="1" x14ac:dyDescent="0.45">
      <c r="A25" s="29">
        <v>16</v>
      </c>
      <c r="B25" s="27">
        <v>44660</v>
      </c>
      <c r="C25" s="27" t="s">
        <v>50</v>
      </c>
      <c r="D25" s="29" t="s">
        <v>25</v>
      </c>
      <c r="E25" s="30">
        <v>48</v>
      </c>
      <c r="F25" s="30">
        <f t="shared" si="4"/>
        <v>-7</v>
      </c>
      <c r="G25" s="31" t="s">
        <v>7</v>
      </c>
      <c r="H25" s="32" t="s">
        <v>15</v>
      </c>
      <c r="J25" s="6">
        <f t="shared" si="1"/>
        <v>16</v>
      </c>
      <c r="K25" s="22">
        <v>50</v>
      </c>
      <c r="L25" s="22">
        <f t="shared" si="3"/>
        <v>48</v>
      </c>
      <c r="M25" s="22">
        <v>43</v>
      </c>
      <c r="N25" s="22">
        <v>57</v>
      </c>
      <c r="O25" s="22">
        <v>40</v>
      </c>
      <c r="P25" s="22">
        <v>60</v>
      </c>
    </row>
    <row r="26" spans="1:16" ht="20.149999999999999" customHeight="1" x14ac:dyDescent="0.45">
      <c r="A26" s="29">
        <v>17</v>
      </c>
      <c r="B26" s="27">
        <v>44662</v>
      </c>
      <c r="C26" s="27" t="s">
        <v>51</v>
      </c>
      <c r="D26" s="29" t="s">
        <v>24</v>
      </c>
      <c r="E26" s="30">
        <v>52</v>
      </c>
      <c r="F26" s="30">
        <f t="shared" si="4"/>
        <v>-3</v>
      </c>
      <c r="G26" s="31" t="s">
        <v>7</v>
      </c>
      <c r="H26" s="32" t="s">
        <v>15</v>
      </c>
      <c r="J26" s="6">
        <f t="shared" si="1"/>
        <v>17</v>
      </c>
      <c r="K26" s="22">
        <v>50</v>
      </c>
      <c r="L26" s="22">
        <f t="shared" si="3"/>
        <v>52</v>
      </c>
      <c r="M26" s="22">
        <v>43</v>
      </c>
      <c r="N26" s="22">
        <v>57</v>
      </c>
      <c r="O26" s="22">
        <v>40</v>
      </c>
      <c r="P26" s="22">
        <v>60</v>
      </c>
    </row>
    <row r="27" spans="1:16" ht="20.149999999999999" customHeight="1" x14ac:dyDescent="0.45">
      <c r="A27" s="29">
        <v>18</v>
      </c>
      <c r="B27" s="27">
        <v>44662</v>
      </c>
      <c r="C27" s="27" t="s">
        <v>51</v>
      </c>
      <c r="D27" s="29" t="s">
        <v>25</v>
      </c>
      <c r="E27" s="30">
        <v>52</v>
      </c>
      <c r="F27" s="30">
        <f t="shared" si="4"/>
        <v>-3</v>
      </c>
      <c r="G27" s="31" t="s">
        <v>7</v>
      </c>
      <c r="H27" s="32" t="s">
        <v>15</v>
      </c>
      <c r="J27" s="6">
        <f t="shared" si="1"/>
        <v>18</v>
      </c>
      <c r="K27" s="22">
        <v>50</v>
      </c>
      <c r="L27" s="22">
        <f t="shared" si="3"/>
        <v>52</v>
      </c>
      <c r="M27" s="22">
        <v>43</v>
      </c>
      <c r="N27" s="22">
        <v>57</v>
      </c>
      <c r="O27" s="22">
        <v>40</v>
      </c>
      <c r="P27" s="22">
        <v>60</v>
      </c>
    </row>
    <row r="28" spans="1:16" ht="20.149999999999999" customHeight="1" x14ac:dyDescent="0.45">
      <c r="A28" s="29">
        <v>19</v>
      </c>
      <c r="B28" s="27">
        <v>44663</v>
      </c>
      <c r="C28" s="27" t="s">
        <v>52</v>
      </c>
      <c r="D28" s="29" t="s">
        <v>24</v>
      </c>
      <c r="E28" s="30">
        <v>54</v>
      </c>
      <c r="F28" s="30">
        <f t="shared" si="4"/>
        <v>-1</v>
      </c>
      <c r="G28" s="31" t="s">
        <v>7</v>
      </c>
      <c r="H28" s="32" t="s">
        <v>15</v>
      </c>
      <c r="J28" s="6">
        <f t="shared" si="1"/>
        <v>19</v>
      </c>
      <c r="K28" s="22">
        <v>50</v>
      </c>
      <c r="L28" s="22">
        <f t="shared" si="3"/>
        <v>54</v>
      </c>
      <c r="M28" s="22">
        <v>43</v>
      </c>
      <c r="N28" s="22">
        <v>57</v>
      </c>
      <c r="O28" s="22">
        <v>40</v>
      </c>
      <c r="P28" s="22">
        <v>60</v>
      </c>
    </row>
    <row r="29" spans="1:16" ht="20.149999999999999" customHeight="1" x14ac:dyDescent="0.45">
      <c r="A29" s="29">
        <v>20</v>
      </c>
      <c r="B29" s="27">
        <v>44663</v>
      </c>
      <c r="C29" s="27" t="s">
        <v>52</v>
      </c>
      <c r="D29" s="29" t="s">
        <v>25</v>
      </c>
      <c r="E29" s="30">
        <v>54</v>
      </c>
      <c r="F29" s="30">
        <f t="shared" si="4"/>
        <v>-1</v>
      </c>
      <c r="G29" s="31" t="s">
        <v>7</v>
      </c>
      <c r="H29" s="32" t="s">
        <v>15</v>
      </c>
      <c r="J29" s="6">
        <f t="shared" si="1"/>
        <v>20</v>
      </c>
      <c r="K29" s="22">
        <v>50</v>
      </c>
      <c r="L29" s="22">
        <f t="shared" si="3"/>
        <v>54</v>
      </c>
      <c r="M29" s="22">
        <v>43</v>
      </c>
      <c r="N29" s="22">
        <v>57</v>
      </c>
      <c r="O29" s="22">
        <v>40</v>
      </c>
      <c r="P29" s="22">
        <v>60</v>
      </c>
    </row>
    <row r="30" spans="1:16" ht="20.149999999999999" customHeight="1" x14ac:dyDescent="0.45">
      <c r="A30" s="29">
        <v>21</v>
      </c>
      <c r="B30" s="27">
        <v>44664</v>
      </c>
      <c r="C30" s="27" t="s">
        <v>53</v>
      </c>
      <c r="D30" s="29" t="s">
        <v>24</v>
      </c>
      <c r="E30" s="30">
        <v>55</v>
      </c>
      <c r="F30" s="30">
        <f t="shared" si="4"/>
        <v>0</v>
      </c>
      <c r="G30" s="31" t="s">
        <v>7</v>
      </c>
      <c r="H30" s="32" t="s">
        <v>15</v>
      </c>
      <c r="J30" s="6">
        <f t="shared" si="1"/>
        <v>21</v>
      </c>
      <c r="K30" s="22">
        <v>50</v>
      </c>
      <c r="L30" s="22">
        <f t="shared" si="3"/>
        <v>55</v>
      </c>
      <c r="M30" s="22">
        <v>43</v>
      </c>
      <c r="N30" s="22">
        <v>57</v>
      </c>
      <c r="O30" s="22">
        <v>40</v>
      </c>
      <c r="P30" s="22">
        <v>60</v>
      </c>
    </row>
    <row r="31" spans="1:16" ht="20.149999999999999" customHeight="1" x14ac:dyDescent="0.45">
      <c r="A31" s="29">
        <v>22</v>
      </c>
      <c r="B31" s="27">
        <v>44664</v>
      </c>
      <c r="C31" s="27" t="s">
        <v>53</v>
      </c>
      <c r="D31" s="29" t="s">
        <v>25</v>
      </c>
      <c r="E31" s="30">
        <v>55</v>
      </c>
      <c r="F31" s="30">
        <f t="shared" si="4"/>
        <v>0</v>
      </c>
      <c r="G31" s="31" t="s">
        <v>7</v>
      </c>
      <c r="H31" s="32" t="s">
        <v>15</v>
      </c>
      <c r="J31" s="6">
        <f t="shared" si="1"/>
        <v>22</v>
      </c>
      <c r="K31" s="22">
        <v>50</v>
      </c>
      <c r="L31" s="22">
        <f t="shared" si="3"/>
        <v>55</v>
      </c>
      <c r="M31" s="22">
        <v>43</v>
      </c>
      <c r="N31" s="22">
        <v>57</v>
      </c>
      <c r="O31" s="22">
        <v>40</v>
      </c>
      <c r="P31" s="22">
        <v>60</v>
      </c>
    </row>
    <row r="32" spans="1:16" ht="20.149999999999999" customHeight="1" x14ac:dyDescent="0.45">
      <c r="A32" s="29">
        <v>23</v>
      </c>
      <c r="B32" s="27">
        <v>44665</v>
      </c>
      <c r="C32" s="27" t="s">
        <v>56</v>
      </c>
      <c r="D32" s="29" t="s">
        <v>24</v>
      </c>
      <c r="E32" s="30">
        <v>53</v>
      </c>
      <c r="F32" s="30">
        <f t="shared" si="4"/>
        <v>-2</v>
      </c>
      <c r="G32" s="31" t="s">
        <v>7</v>
      </c>
      <c r="H32" s="32" t="s">
        <v>15</v>
      </c>
      <c r="J32" s="6">
        <f t="shared" si="1"/>
        <v>23</v>
      </c>
      <c r="K32" s="22">
        <v>50</v>
      </c>
      <c r="L32" s="22">
        <f t="shared" si="3"/>
        <v>53</v>
      </c>
      <c r="M32" s="22">
        <v>43</v>
      </c>
      <c r="N32" s="22">
        <v>57</v>
      </c>
      <c r="O32" s="22">
        <v>40</v>
      </c>
      <c r="P32" s="22">
        <v>60</v>
      </c>
    </row>
    <row r="33" spans="1:16" ht="20.149999999999999" customHeight="1" x14ac:dyDescent="0.45">
      <c r="A33" s="29">
        <v>24</v>
      </c>
      <c r="B33" s="27">
        <v>44665</v>
      </c>
      <c r="C33" s="27" t="s">
        <v>56</v>
      </c>
      <c r="D33" s="29" t="s">
        <v>25</v>
      </c>
      <c r="E33" s="30">
        <v>53</v>
      </c>
      <c r="F33" s="30">
        <f t="shared" si="4"/>
        <v>-2</v>
      </c>
      <c r="G33" s="31" t="s">
        <v>7</v>
      </c>
      <c r="H33" s="32" t="s">
        <v>15</v>
      </c>
      <c r="J33" s="6">
        <f t="shared" si="1"/>
        <v>24</v>
      </c>
      <c r="K33" s="22">
        <v>50</v>
      </c>
      <c r="L33" s="22">
        <f t="shared" si="3"/>
        <v>53</v>
      </c>
      <c r="M33" s="22">
        <v>43</v>
      </c>
      <c r="N33" s="22">
        <v>57</v>
      </c>
      <c r="O33" s="22">
        <v>40</v>
      </c>
      <c r="P33" s="22">
        <v>60</v>
      </c>
    </row>
    <row r="34" spans="1:16" ht="20.149999999999999" customHeight="1" x14ac:dyDescent="0.45">
      <c r="A34" s="29">
        <v>25</v>
      </c>
      <c r="B34" s="27">
        <v>44666</v>
      </c>
      <c r="C34" s="27" t="s">
        <v>55</v>
      </c>
      <c r="D34" s="29" t="s">
        <v>24</v>
      </c>
      <c r="E34" s="30">
        <v>51</v>
      </c>
      <c r="F34" s="30">
        <f t="shared" ref="F34:F35" si="5">E34-$B$5</f>
        <v>-4</v>
      </c>
      <c r="G34" s="31" t="s">
        <v>7</v>
      </c>
      <c r="H34" s="32" t="s">
        <v>15</v>
      </c>
      <c r="J34" s="6">
        <f t="shared" ref="J34:J35" si="6">A34</f>
        <v>25</v>
      </c>
      <c r="K34" s="22">
        <v>50</v>
      </c>
      <c r="L34" s="22">
        <f t="shared" ref="L34:L35" si="7">E34</f>
        <v>51</v>
      </c>
      <c r="M34" s="22">
        <v>43</v>
      </c>
      <c r="N34" s="22">
        <v>57</v>
      </c>
      <c r="O34" s="22">
        <v>40</v>
      </c>
      <c r="P34" s="22">
        <v>60</v>
      </c>
    </row>
    <row r="35" spans="1:16" ht="20.149999999999999" customHeight="1" x14ac:dyDescent="0.45">
      <c r="A35" s="29">
        <v>26</v>
      </c>
      <c r="B35" s="27">
        <v>44666</v>
      </c>
      <c r="C35" s="27" t="s">
        <v>55</v>
      </c>
      <c r="D35" s="29" t="s">
        <v>25</v>
      </c>
      <c r="E35" s="30">
        <v>51</v>
      </c>
      <c r="F35" s="30">
        <f t="shared" si="5"/>
        <v>-4</v>
      </c>
      <c r="G35" s="31" t="s">
        <v>7</v>
      </c>
      <c r="H35" s="32" t="s">
        <v>15</v>
      </c>
      <c r="J35" s="6">
        <f t="shared" si="6"/>
        <v>26</v>
      </c>
      <c r="K35" s="22">
        <v>50</v>
      </c>
      <c r="L35" s="22">
        <f t="shared" si="7"/>
        <v>51</v>
      </c>
      <c r="M35" s="22">
        <v>43</v>
      </c>
      <c r="N35" s="22">
        <v>57</v>
      </c>
      <c r="O35" s="22">
        <v>40</v>
      </c>
      <c r="P35" s="22">
        <v>60</v>
      </c>
    </row>
    <row r="36" spans="1:16" ht="20.149999999999999" customHeight="1" x14ac:dyDescent="0.45">
      <c r="A36" s="27" t="s">
        <v>47</v>
      </c>
      <c r="B36" s="50">
        <f>AVERAGE(E10:E35)</f>
        <v>50.615384615384613</v>
      </c>
      <c r="C36" s="27" t="s">
        <v>57</v>
      </c>
      <c r="D36" s="49">
        <v>54</v>
      </c>
      <c r="E36" s="30" t="s">
        <v>48</v>
      </c>
      <c r="F36" s="49">
        <v>48</v>
      </c>
      <c r="G36" s="49"/>
      <c r="H36" s="32" t="s">
        <v>15</v>
      </c>
      <c r="K36" s="22"/>
      <c r="L36" s="22"/>
      <c r="M36" s="22"/>
      <c r="N36" s="22"/>
      <c r="O36" s="22"/>
      <c r="P36" s="22"/>
    </row>
    <row r="37" spans="1:16" ht="60.75" customHeight="1" x14ac:dyDescent="0.45">
      <c r="A37" s="33" t="s">
        <v>8</v>
      </c>
      <c r="B37" s="34"/>
      <c r="C37" s="34"/>
      <c r="D37" s="35"/>
      <c r="E37" s="35"/>
      <c r="F37" s="35"/>
      <c r="G37" s="35"/>
      <c r="H37" s="35"/>
    </row>
    <row r="38" spans="1:16" ht="20.149999999999999" customHeight="1" x14ac:dyDescent="0.45">
      <c r="A38" s="34"/>
      <c r="B38" s="34"/>
      <c r="C38" s="34"/>
      <c r="D38" s="36" t="s">
        <v>1</v>
      </c>
      <c r="E38" s="36"/>
      <c r="F38" s="34"/>
      <c r="G38" s="36" t="s">
        <v>2</v>
      </c>
      <c r="H38" s="36" t="s">
        <v>3</v>
      </c>
    </row>
    <row r="39" spans="1:16" ht="23.25" customHeight="1" x14ac:dyDescent="0.45"/>
    <row r="40" spans="1:16" x14ac:dyDescent="0.45">
      <c r="A40" s="23" t="s">
        <v>14</v>
      </c>
      <c r="F40" s="24"/>
    </row>
    <row r="41" spans="1:16" x14ac:dyDescent="0.45">
      <c r="D41" s="25" t="s">
        <v>1</v>
      </c>
      <c r="E41" s="25"/>
      <c r="G41" s="25" t="s">
        <v>2</v>
      </c>
      <c r="H41" s="25" t="s">
        <v>3</v>
      </c>
    </row>
    <row r="43" spans="1:16" ht="23.25" customHeight="1" x14ac:dyDescent="0.45">
      <c r="A43" s="23" t="s">
        <v>18</v>
      </c>
      <c r="D43" s="24"/>
      <c r="E43" s="24"/>
      <c r="F43" s="24"/>
      <c r="G43" s="24"/>
      <c r="H43" s="24"/>
    </row>
    <row r="44" spans="1:16" ht="42" customHeight="1" x14ac:dyDescent="0.45">
      <c r="D44" s="24"/>
      <c r="E44" s="24"/>
      <c r="F44" s="24"/>
      <c r="G44" s="24"/>
      <c r="H44" s="24"/>
    </row>
    <row r="45" spans="1:16" ht="37.5" customHeight="1" x14ac:dyDescent="0.45">
      <c r="D45" s="24"/>
      <c r="E45" s="24"/>
      <c r="F45" s="24"/>
    </row>
    <row r="46" spans="1:16" ht="26.25" customHeight="1" x14ac:dyDescent="0.45">
      <c r="G46" s="25" t="s">
        <v>2</v>
      </c>
      <c r="H46" s="25" t="s">
        <v>3</v>
      </c>
    </row>
    <row r="47" spans="1:16" ht="16.5" thickBot="1" x14ac:dyDescent="0.5"/>
    <row r="48" spans="1:16" s="42" customFormat="1" ht="16.5" thickBot="1" x14ac:dyDescent="0.5">
      <c r="B48" s="44" t="s">
        <v>43</v>
      </c>
      <c r="C48" s="6"/>
    </row>
    <row r="49" spans="1:8" s="42" customFormat="1" ht="16.5" thickBot="1" x14ac:dyDescent="0.5">
      <c r="A49" s="43" t="s">
        <v>42</v>
      </c>
      <c r="B49" s="6"/>
      <c r="D49" s="45" t="s">
        <v>44</v>
      </c>
      <c r="E49" s="44">
        <v>0</v>
      </c>
      <c r="F49" s="45" t="s">
        <v>45</v>
      </c>
      <c r="G49" s="46">
        <v>43836</v>
      </c>
      <c r="H49" s="47" t="s">
        <v>0</v>
      </c>
    </row>
    <row r="50" spans="1:8" x14ac:dyDescent="0.45">
      <c r="C50" s="44"/>
    </row>
  </sheetData>
  <mergeCells count="1">
    <mergeCell ref="D1:F1"/>
  </mergeCells>
  <printOptions horizontalCentered="1"/>
  <pageMargins left="0.95" right="0.7" top="0.5" bottom="0.25" header="0.3" footer="0.3"/>
  <pageSetup paperSize="9" scale="5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MainHall-Sep-1</vt:lpstr>
      <vt:lpstr>Icp-Sep-1</vt:lpstr>
      <vt:lpstr>MicroBiology-Sep-1 </vt:lpstr>
      <vt:lpstr>Sample Stroage Sep-1 </vt:lpstr>
      <vt:lpstr>'Icp-Sep-1'!Print_Area</vt:lpstr>
      <vt:lpstr>'MainHall-Sep-1'!Print_Area</vt:lpstr>
      <vt:lpstr>'MicroBiology-Sep-1 '!Print_Area</vt:lpstr>
      <vt:lpstr>'Sample Stroage Sep-1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2022-04-11T07:33:01Z</cp:lastPrinted>
  <dcterms:created xsi:type="dcterms:W3CDTF">2019-12-19T05:48:48Z</dcterms:created>
  <dcterms:modified xsi:type="dcterms:W3CDTF">2023-12-20T06:54:22Z</dcterms:modified>
</cp:coreProperties>
</file>