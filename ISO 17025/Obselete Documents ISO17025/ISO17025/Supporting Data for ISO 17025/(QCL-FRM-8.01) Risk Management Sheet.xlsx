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42B6531E-9DBB-4B12-ACB4-22D409089E31}" xr6:coauthVersionLast="45" xr6:coauthVersionMax="45" xr10:uidLastSave="{00000000-0000-0000-0000-000000000000}"/>
  <bookViews>
    <workbookView xWindow="-110" yWindow="-110" windowWidth="19420" windowHeight="10420" firstSheet="1" activeTab="3" xr2:uid="{00000000-000D-0000-FFFF-FFFF00000000}"/>
  </bookViews>
  <sheets>
    <sheet name="DO NOT EDIT" sheetId="2" state="hidden" r:id="rId1"/>
    <sheet name="Risk Management" sheetId="1" r:id="rId2"/>
    <sheet name="Criteria" sheetId="4" r:id="rId3"/>
    <sheet name="Heat Chart" sheetId="3"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1" l="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7" i="1" l="1"/>
</calcChain>
</file>

<file path=xl/sharedStrings.xml><?xml version="1.0" encoding="utf-8"?>
<sst xmlns="http://schemas.openxmlformats.org/spreadsheetml/2006/main" count="116" uniqueCount="102">
  <si>
    <t>SN</t>
  </si>
  <si>
    <t>RISK</t>
  </si>
  <si>
    <t>O</t>
  </si>
  <si>
    <t>S</t>
  </si>
  <si>
    <t>RISK RATING</t>
  </si>
  <si>
    <t>RISK TREATMENT PLAN</t>
  </si>
  <si>
    <t>RESPONSIBILITY</t>
  </si>
  <si>
    <t>TARGET DATE</t>
  </si>
  <si>
    <t>STATUS</t>
  </si>
  <si>
    <t>RISK ASSESSMENT</t>
  </si>
  <si>
    <t>RISK TREATMENT</t>
  </si>
  <si>
    <t>RISK HEAT CHART</t>
  </si>
  <si>
    <t>Risk Rating is ignorable</t>
  </si>
  <si>
    <t>Risk Rating is Noteworthy and should be taken care of</t>
  </si>
  <si>
    <t>Risk Rating is Critical and must be taken care of immediately</t>
  </si>
  <si>
    <t>Completed on time</t>
  </si>
  <si>
    <t>Completed with delay</t>
  </si>
  <si>
    <t>Delayed</t>
  </si>
  <si>
    <t>Failed (30 days delay)</t>
  </si>
  <si>
    <t>Revision required</t>
  </si>
  <si>
    <t>The existing measures or nature of work ensure that risk has almost no chances of occurrence</t>
  </si>
  <si>
    <t>The risk has occurred once in the last 12 months based on existing measures</t>
  </si>
  <si>
    <t>The risk has occurred once in the last 6 months based on existing measures</t>
  </si>
  <si>
    <t>The risk has occurred once in the last 30 days based on existing measures</t>
  </si>
  <si>
    <t>The risk has occurred more than once in the last 30 days</t>
  </si>
  <si>
    <t>Chances of Occurrence (O)</t>
  </si>
  <si>
    <t>Severity of Impact (S)</t>
  </si>
  <si>
    <t>The existing measures or nature of work ensure that risk occurrence has almost no noticeable impact on organization business objectives, processes and services</t>
  </si>
  <si>
    <t>Based on existing measures, risk only impacts a minor process which does not directly effect any customer based requirements, or primary services offered by the organization</t>
  </si>
  <si>
    <t>Based on existing measures, risk impacts a process of the organization which is one of the support functions for one of the primary services, but without effecting customer’s asset, information and/or requirements</t>
  </si>
  <si>
    <t>Based on existing measures, risk impacts one of the primary processes of the organization, which can negatively effect customer related services as well as major requirements of Management System (Standard) Implemented including effecting measures taken to prevent impartiality, but without effecting customer’s asset or information</t>
  </si>
  <si>
    <t>Based on existing measures, risk impacts more than one primary processes of the organization, which can negatively effect customer related services and also might compromise impartiality and confidentiality measures, including the ones associated with customers, their assets and information</t>
  </si>
  <si>
    <t>RATING</t>
  </si>
  <si>
    <t>DESCRIPTION</t>
  </si>
  <si>
    <t>RISK MANAGEMENT SHEET</t>
  </si>
  <si>
    <t>Computer systems will be provided with username and password protection.</t>
  </si>
  <si>
    <t>Bilal</t>
  </si>
  <si>
    <t>Actual Date of Completion</t>
  </si>
  <si>
    <t>Last Upated on:</t>
  </si>
  <si>
    <t>Risk Revision SN</t>
  </si>
  <si>
    <t>Records kept in printed (hard copy) format are not kept in locked cabinets which can lead to unauthorized access to customer reports.</t>
  </si>
  <si>
    <t>Records related to customer (such as customer contact information and test reports) will be kept in a locked cabinet.</t>
  </si>
  <si>
    <t>Kashif</t>
  </si>
  <si>
    <t>Computer system used for storage and documentation of Lab Management System, are not provided with password protection which can lead to leakage information</t>
  </si>
  <si>
    <t>Computer system used for reporting of results, are not provided with password protection which can lead to leakage confidential information</t>
  </si>
  <si>
    <t>Some equipment were not calibrated before PT participation which could have increased the risk of PT failure</t>
  </si>
  <si>
    <t>Calibration plan to be maintained to ensure timely calibration of equipment (through use of Equipment History Log Book)</t>
  </si>
  <si>
    <t>Performer due to some personal reason does not complete the test process and submits report without complete data requested by customer, which can lead to risk of impartiality.</t>
  </si>
  <si>
    <t>Performer may not perform the test correctly due to workload and timeline pressures, for the sake of giving results quickly, which can lead to risk of impartiality.</t>
  </si>
  <si>
    <t>Customer is able to directly offer money to or put pressure on, test performer, to change the results according to his own will, which can lead to risk of impartiality.</t>
  </si>
  <si>
    <t>There is a chance that test performers might give favor to customer by modifying test results, which could negatively effect impartiality of the Lab.</t>
  </si>
  <si>
    <t>Customer is able to directly offer money to or put pressure on, customer service representatives, to modify the reports according to his own will, which can lead to risk of impartiality.</t>
  </si>
  <si>
    <t>WELCOS will ensure that customer cannot directly communicate or interact with test performer without written approval of Management and in their presence only.</t>
  </si>
  <si>
    <t>Performer may not perform test correctly due to lack of understanding of test method or due to absence of sufficient experience, which can compromise impartiality of the lab due to incorrect results.</t>
  </si>
  <si>
    <t>Test results will be reviewed by supervisors and management personnel, before it is approved for Reporting to Customer.</t>
  </si>
  <si>
    <t>One of the superior officers pressurizes the test performer in modifying the test report before dispatch, which can lead to risk of impartiality.</t>
  </si>
  <si>
    <t>Test results will be reviewed by multiple supervisors before the report is approved for dispatch.</t>
  </si>
  <si>
    <t>WELCOS will ensure that reports kept under the custody of Customer Representatives (for dispatch) are review and approved by relevant authorities.</t>
  </si>
  <si>
    <t>Test performer will only be authorized to perform a test without supervision, after Supervisors have ensured that he has received sufficient training of the test.</t>
  </si>
  <si>
    <t>IMPARTIALITY RISKS</t>
  </si>
  <si>
    <t>CONFIDENTIALITY RISKS</t>
  </si>
  <si>
    <t>Customer's information is leaked to unauthorized persons by lab personnel unintentionally, which can lead to breach of confidentiality.</t>
  </si>
  <si>
    <t>WELCOS ensures that employees are provided with awareness on importance of confidentiality, and the disciplinary measures which may be taken in case of breach.</t>
  </si>
  <si>
    <t>Customer's information is leaked from a computer system available at WELCOS, which can lead to breach of confidentiality.</t>
  </si>
  <si>
    <t>Internal documentation is leaked from a computer system available at WELCOS, which can lead to breach of confidentiality.</t>
  </si>
  <si>
    <t>Customer is able to access the lab and data available physically, which can lead to breach of confidentiality.</t>
  </si>
  <si>
    <t>Access to lab sections and computer system will be strictly controlled, and customers will not be allowed inside official working areas without authorized escort.</t>
  </si>
  <si>
    <t>Hard Copy files are easily accessible to unauthorized person, which can lead to breach of confidentiality.</t>
  </si>
  <si>
    <t>All documents and records in hard copy format will be stored in locked cabinets, which access to authorized personnel only.</t>
  </si>
  <si>
    <t>PERSONNEL</t>
  </si>
  <si>
    <t>Untrained person will not be capable of performing the tests correctly and achieving correct results.</t>
  </si>
  <si>
    <t>Personnel will be trained for the tests before they are authorized to perform them, to ensure correct performance and correct results.</t>
  </si>
  <si>
    <t>Unintentional violations of WELCOS procedures due to lack of understanding of Lab Management System.</t>
  </si>
  <si>
    <t>Personnel at WELCOS are provided regular trainings on Lab Management System procedures.</t>
  </si>
  <si>
    <t>Test Performer is involved in performing tests which he is not authorized for.</t>
  </si>
  <si>
    <t>WELCOS has developed Authorization Forms, which ensure that all personnel are communicated about their authorized tests.</t>
  </si>
  <si>
    <t>EQUIPMENT</t>
  </si>
  <si>
    <t>Equipment may malfunction.</t>
  </si>
  <si>
    <t>WELCOS ensures that equipment will have a regular preventive maintenance plan to prevent malfunctioning.</t>
  </si>
  <si>
    <t>Equipment might not give reliable results.</t>
  </si>
  <si>
    <t>WELCOS ensures equipment are periodically calibrated through external sources.</t>
  </si>
  <si>
    <t>PURCHASE</t>
  </si>
  <si>
    <t>Purchase of unreliable equipment and supplies.</t>
  </si>
  <si>
    <t>WELCOS ensures evaluation suppliers before approving them for purchase of items.</t>
  </si>
  <si>
    <t>Purchased equipment does not have all the requirements and features.</t>
  </si>
  <si>
    <t>WELCOS ensures that purchase requests are properly documents and purchased items are inspected before they are accepted.</t>
  </si>
  <si>
    <t>ITEMS MANAGEMENT</t>
  </si>
  <si>
    <t>Chemicals and reagents have expired due to lack of proper storage facility.</t>
  </si>
  <si>
    <t xml:space="preserve">Chemicals and reagents are stored in a temperature controlled environment. </t>
  </si>
  <si>
    <t>Wastage and misuse of Chemicals and reagents.</t>
  </si>
  <si>
    <t>WELCOS will implement inventory management system to ensure control over usage of chemicals and reagents.</t>
  </si>
  <si>
    <t>ENVIRONMENT</t>
  </si>
  <si>
    <t>Test environment temperature is out of limits.</t>
  </si>
  <si>
    <t>WELCOS has installed air conditioners and monitors temperature regularly, to ensure that temperature remains within limits.</t>
  </si>
  <si>
    <t>Test environment humidity is out of limits.</t>
  </si>
  <si>
    <t>WELCOS has installed air conditioners and monitors temperature regularly, to ensure that humidity remains within limits.</t>
  </si>
  <si>
    <t xml:space="preserve"> </t>
  </si>
  <si>
    <t>Issued: 01-Jan-2024</t>
  </si>
  <si>
    <t>Rev: 00</t>
  </si>
  <si>
    <t>Faheem</t>
  </si>
  <si>
    <t>Doc. QCL-FRM-8.01</t>
  </si>
  <si>
    <t>Heat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</si>
</sst>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Times New Roman"/>
      <family val="1"/>
    </font>
    <font>
      <b/>
      <sz val="11"/>
      <color theme="1"/>
      <name val="Times New Roman"/>
      <family val="1"/>
    </font>
    <font>
      <b/>
      <sz val="18"/>
      <color theme="1"/>
      <name val="Times New Roman"/>
      <family val="1"/>
    </font>
    <font>
      <b/>
      <sz val="12"/>
      <color theme="1"/>
      <name val="Times New Roman"/>
      <family val="1"/>
    </font>
    <font>
      <sz val="10"/>
      <color theme="1"/>
      <name val="Times New Roman"/>
      <family val="1"/>
    </font>
    <font>
      <b/>
      <sz val="9"/>
      <color theme="1"/>
      <name val="Times New Roman"/>
      <family val="1"/>
    </font>
    <font>
      <b/>
      <sz val="16"/>
      <color theme="1"/>
      <name val="Times New Roman"/>
      <family val="1"/>
    </font>
    <font>
      <b/>
      <sz val="14"/>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15" fontId="1"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right" vertical="center"/>
    </xf>
    <xf numFmtId="0" fontId="2" fillId="4" borderId="7" xfId="0" applyFont="1" applyFill="1" applyBorder="1" applyAlignment="1">
      <alignment horizontal="center" vertical="center" wrapText="1"/>
    </xf>
    <xf numFmtId="15" fontId="2" fillId="4" borderId="7"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6" xfId="0" applyFont="1" applyFill="1" applyBorder="1" applyAlignment="1">
      <alignment horizontal="left" vertical="center" wrapText="1"/>
    </xf>
    <xf numFmtId="0" fontId="2" fillId="4" borderId="5"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4" fillId="0" borderId="0" xfId="0" applyFont="1" applyBorder="1" applyAlignment="1">
      <alignment vertical="center"/>
    </xf>
    <xf numFmtId="0" fontId="2" fillId="0" borderId="1" xfId="0" applyFont="1" applyBorder="1" applyAlignment="1">
      <alignment horizontal="right" vertical="center"/>
    </xf>
    <xf numFmtId="0" fontId="1" fillId="0" borderId="1" xfId="0" applyFont="1" applyBorder="1" applyAlignment="1">
      <alignment horizont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0" borderId="1" xfId="0" applyFont="1" applyBorder="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7" fillId="0" borderId="0" xfId="0" applyFont="1" applyBorder="1" applyAlignment="1">
      <alignment horizontal="left" vertical="center"/>
    </xf>
  </cellXfs>
  <cellStyles count="1">
    <cellStyle name="Normal" xfId="0" builtinId="0"/>
  </cellStyles>
  <dxfs count="3">
    <dxf>
      <fill>
        <patternFill>
          <bgColor rgb="FFFFFF00"/>
        </patternFill>
      </fill>
    </dxf>
    <dxf>
      <fill>
        <patternFill>
          <bgColor rgb="FFFF0000"/>
        </patternFill>
      </fill>
    </dxf>
    <dxf>
      <fill>
        <patternFill>
          <bgColor rgb="FF00B05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0</xdr:row>
      <xdr:rowOff>50800</xdr:rowOff>
    </xdr:from>
    <xdr:to>
      <xdr:col>1</xdr:col>
      <xdr:colOff>1689100</xdr:colOff>
      <xdr:row>2</xdr:row>
      <xdr:rowOff>215900</xdr:rowOff>
    </xdr:to>
    <xdr:pic>
      <xdr:nvPicPr>
        <xdr:cNvPr id="2" name="Picture 1">
          <a:extLst>
            <a:ext uri="{FF2B5EF4-FFF2-40B4-BE49-F238E27FC236}">
              <a16:creationId xmlns:a16="http://schemas.microsoft.com/office/drawing/2014/main" id="{D9ADC35E-8CBA-4DA5-BF53-9FD7BAAC07D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00" y="50800"/>
          <a:ext cx="1924050" cy="6985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36286</xdr:colOff>
      <xdr:row>0</xdr:row>
      <xdr:rowOff>27214</xdr:rowOff>
    </xdr:from>
    <xdr:to>
      <xdr:col>0</xdr:col>
      <xdr:colOff>1156607</xdr:colOff>
      <xdr:row>2</xdr:row>
      <xdr:rowOff>145143</xdr:rowOff>
    </xdr:to>
    <xdr:pic>
      <xdr:nvPicPr>
        <xdr:cNvPr id="2" name="Picture 1">
          <a:extLst>
            <a:ext uri="{FF2B5EF4-FFF2-40B4-BE49-F238E27FC236}">
              <a16:creationId xmlns:a16="http://schemas.microsoft.com/office/drawing/2014/main" id="{E54AE6CF-D3B8-437C-A1A3-D91EF393B68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86" y="27214"/>
          <a:ext cx="1120321" cy="498929"/>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100805</xdr:colOff>
      <xdr:row>0</xdr:row>
      <xdr:rowOff>57944</xdr:rowOff>
    </xdr:from>
    <xdr:to>
      <xdr:col>1</xdr:col>
      <xdr:colOff>742950</xdr:colOff>
      <xdr:row>2</xdr:row>
      <xdr:rowOff>203200</xdr:rowOff>
    </xdr:to>
    <xdr:pic>
      <xdr:nvPicPr>
        <xdr:cNvPr id="2" name="Picture 1">
          <a:extLst>
            <a:ext uri="{FF2B5EF4-FFF2-40B4-BE49-F238E27FC236}">
              <a16:creationId xmlns:a16="http://schemas.microsoft.com/office/drawing/2014/main" id="{5370CBFF-99B0-41ED-9404-CDC2195E0E7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05" y="57944"/>
          <a:ext cx="1524795" cy="653256"/>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6"/>
  <sheetViews>
    <sheetView workbookViewId="0">
      <selection activeCell="D2" sqref="D2"/>
    </sheetView>
  </sheetViews>
  <sheetFormatPr defaultColWidth="9.1796875" defaultRowHeight="14.5" x14ac:dyDescent="0.35"/>
  <cols>
    <col min="1" max="3" width="9.1796875" style="3"/>
    <col min="4" max="4" width="22" style="3" customWidth="1"/>
    <col min="5" max="16384" width="9.1796875" style="3"/>
  </cols>
  <sheetData>
    <row r="2" spans="2:4" x14ac:dyDescent="0.35">
      <c r="B2" s="3">
        <v>1</v>
      </c>
      <c r="D2" s="3" t="s">
        <v>15</v>
      </c>
    </row>
    <row r="3" spans="2:4" x14ac:dyDescent="0.35">
      <c r="B3" s="3">
        <v>2</v>
      </c>
      <c r="D3" s="3" t="s">
        <v>16</v>
      </c>
    </row>
    <row r="4" spans="2:4" x14ac:dyDescent="0.35">
      <c r="B4" s="3">
        <v>3</v>
      </c>
      <c r="D4" s="3" t="s">
        <v>17</v>
      </c>
    </row>
    <row r="5" spans="2:4" x14ac:dyDescent="0.35">
      <c r="B5" s="3">
        <v>4</v>
      </c>
      <c r="D5" s="3" t="s">
        <v>18</v>
      </c>
    </row>
    <row r="6" spans="2:4" x14ac:dyDescent="0.35">
      <c r="B6" s="3">
        <v>5</v>
      </c>
      <c r="D6" s="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6"/>
  <sheetViews>
    <sheetView zoomScaleNormal="100" workbookViewId="0">
      <pane ySplit="6" topLeftCell="A7" activePane="bottomLeft" state="frozen"/>
      <selection pane="bottomLeft" activeCell="F4" sqref="F4"/>
    </sheetView>
  </sheetViews>
  <sheetFormatPr defaultColWidth="9.1796875" defaultRowHeight="14.5" x14ac:dyDescent="0.35"/>
  <cols>
    <col min="1" max="1" width="4.81640625" style="1" customWidth="1"/>
    <col min="2" max="2" width="25.26953125" style="2" customWidth="1"/>
    <col min="3" max="4" width="4.6328125" style="1" customWidth="1"/>
    <col min="5" max="5" width="8.08984375" style="1" customWidth="1"/>
    <col min="6" max="6" width="21.08984375" style="2" customWidth="1"/>
    <col min="7" max="7" width="14.54296875" style="1" customWidth="1"/>
    <col min="8" max="8" width="10.453125" style="1" customWidth="1"/>
    <col min="9" max="9" width="10.6328125" style="1" customWidth="1"/>
    <col min="10" max="10" width="7.6328125" style="1" customWidth="1"/>
    <col min="11" max="11" width="10.1796875" style="1" customWidth="1"/>
    <col min="12" max="16384" width="9.1796875" style="1"/>
  </cols>
  <sheetData>
    <row r="1" spans="1:11" ht="21" customHeight="1" x14ac:dyDescent="0.35">
      <c r="A1" s="8" t="s">
        <v>96</v>
      </c>
      <c r="B1" s="8"/>
      <c r="C1" s="9" t="s">
        <v>34</v>
      </c>
      <c r="D1" s="9"/>
      <c r="E1" s="9"/>
      <c r="F1" s="9"/>
      <c r="G1" s="9"/>
      <c r="H1" s="9"/>
      <c r="I1" s="10" t="s">
        <v>100</v>
      </c>
      <c r="J1" s="10"/>
      <c r="K1" s="10"/>
    </row>
    <row r="2" spans="1:11" ht="21" customHeight="1" x14ac:dyDescent="0.35">
      <c r="A2" s="8"/>
      <c r="B2" s="8"/>
      <c r="C2" s="9"/>
      <c r="D2" s="9"/>
      <c r="E2" s="9"/>
      <c r="F2" s="9"/>
      <c r="G2" s="9"/>
      <c r="H2" s="9"/>
      <c r="I2" s="10" t="s">
        <v>97</v>
      </c>
      <c r="J2" s="10"/>
      <c r="K2" s="10"/>
    </row>
    <row r="3" spans="1:11" ht="21" customHeight="1" x14ac:dyDescent="0.35">
      <c r="A3" s="8"/>
      <c r="B3" s="8"/>
      <c r="C3" s="9"/>
      <c r="D3" s="9"/>
      <c r="E3" s="9"/>
      <c r="F3" s="9"/>
      <c r="G3" s="9"/>
      <c r="H3" s="9"/>
      <c r="I3" s="10" t="s">
        <v>98</v>
      </c>
      <c r="J3" s="10"/>
      <c r="K3" s="10"/>
    </row>
    <row r="4" spans="1:11" ht="19" customHeight="1" x14ac:dyDescent="0.35">
      <c r="A4" s="21"/>
      <c r="B4" s="11" t="s">
        <v>38</v>
      </c>
      <c r="C4" s="12"/>
      <c r="D4" s="13"/>
      <c r="E4" s="13"/>
      <c r="F4" s="14"/>
      <c r="G4" s="15"/>
      <c r="H4" s="15"/>
      <c r="I4" s="15"/>
      <c r="J4" s="15"/>
      <c r="K4" s="16"/>
    </row>
    <row r="5" spans="1:11" ht="27" customHeight="1" x14ac:dyDescent="0.35">
      <c r="A5" s="17" t="s">
        <v>9</v>
      </c>
      <c r="B5" s="17"/>
      <c r="C5" s="17"/>
      <c r="D5" s="17"/>
      <c r="E5" s="17"/>
      <c r="F5" s="18" t="s">
        <v>5</v>
      </c>
      <c r="G5" s="19"/>
      <c r="H5" s="19"/>
      <c r="I5" s="19"/>
      <c r="J5" s="19"/>
      <c r="K5" s="20"/>
    </row>
    <row r="6" spans="1:11" ht="40.5" customHeight="1" x14ac:dyDescent="0.35">
      <c r="A6" s="22" t="s">
        <v>0</v>
      </c>
      <c r="B6" s="22" t="s">
        <v>1</v>
      </c>
      <c r="C6" s="22" t="s">
        <v>2</v>
      </c>
      <c r="D6" s="22" t="s">
        <v>3</v>
      </c>
      <c r="E6" s="22" t="s">
        <v>4</v>
      </c>
      <c r="F6" s="22" t="s">
        <v>10</v>
      </c>
      <c r="G6" s="22" t="s">
        <v>6</v>
      </c>
      <c r="H6" s="22" t="s">
        <v>7</v>
      </c>
      <c r="I6" s="22" t="s">
        <v>37</v>
      </c>
      <c r="J6" s="22" t="s">
        <v>8</v>
      </c>
      <c r="K6" s="22" t="s">
        <v>39</v>
      </c>
    </row>
    <row r="7" spans="1:11" ht="89.5" customHeight="1" x14ac:dyDescent="0.35">
      <c r="A7" s="4">
        <v>1</v>
      </c>
      <c r="B7" s="5" t="s">
        <v>44</v>
      </c>
      <c r="C7" s="4">
        <v>2</v>
      </c>
      <c r="D7" s="4">
        <v>5</v>
      </c>
      <c r="E7" s="4">
        <f>C7*D7</f>
        <v>10</v>
      </c>
      <c r="F7" s="5" t="s">
        <v>35</v>
      </c>
      <c r="G7" s="4" t="s">
        <v>99</v>
      </c>
      <c r="H7" s="6">
        <v>43528</v>
      </c>
      <c r="I7" s="6"/>
      <c r="J7" s="4"/>
      <c r="K7" s="4"/>
    </row>
    <row r="8" spans="1:11" ht="93" customHeight="1" x14ac:dyDescent="0.35">
      <c r="A8" s="4">
        <v>2</v>
      </c>
      <c r="B8" s="5" t="s">
        <v>40</v>
      </c>
      <c r="C8" s="4">
        <v>2</v>
      </c>
      <c r="D8" s="4">
        <v>5</v>
      </c>
      <c r="E8" s="4">
        <f t="shared" ref="E8:E46" si="0">C8*D8</f>
        <v>10</v>
      </c>
      <c r="F8" s="5" t="s">
        <v>41</v>
      </c>
      <c r="G8" s="4" t="s">
        <v>42</v>
      </c>
      <c r="H8" s="6">
        <v>43544</v>
      </c>
      <c r="I8" s="4"/>
      <c r="J8" s="4"/>
      <c r="K8" s="4"/>
    </row>
    <row r="9" spans="1:11" ht="80.5" customHeight="1" x14ac:dyDescent="0.35">
      <c r="A9" s="4">
        <v>3</v>
      </c>
      <c r="B9" s="23" t="s">
        <v>43</v>
      </c>
      <c r="C9" s="4">
        <v>2</v>
      </c>
      <c r="D9" s="4">
        <v>3</v>
      </c>
      <c r="E9" s="4">
        <f t="shared" si="0"/>
        <v>6</v>
      </c>
      <c r="F9" s="5" t="s">
        <v>35</v>
      </c>
      <c r="G9" s="4" t="s">
        <v>36</v>
      </c>
      <c r="H9" s="6">
        <v>43528</v>
      </c>
      <c r="I9" s="4"/>
      <c r="J9" s="4"/>
      <c r="K9" s="4"/>
    </row>
    <row r="10" spans="1:11" ht="86.5" customHeight="1" x14ac:dyDescent="0.35">
      <c r="A10" s="4">
        <v>4</v>
      </c>
      <c r="B10" s="5" t="s">
        <v>45</v>
      </c>
      <c r="C10" s="4">
        <v>2</v>
      </c>
      <c r="D10" s="4">
        <v>4</v>
      </c>
      <c r="E10" s="4">
        <f t="shared" si="0"/>
        <v>8</v>
      </c>
      <c r="F10" s="23" t="s">
        <v>46</v>
      </c>
      <c r="G10" s="4" t="s">
        <v>36</v>
      </c>
      <c r="H10" s="6">
        <v>43539</v>
      </c>
      <c r="I10" s="4"/>
      <c r="J10" s="4"/>
      <c r="K10" s="4"/>
    </row>
    <row r="11" spans="1:11" ht="24" customHeight="1" x14ac:dyDescent="0.35">
      <c r="A11" s="4">
        <v>5</v>
      </c>
      <c r="B11" s="7" t="s">
        <v>59</v>
      </c>
      <c r="C11" s="4"/>
      <c r="D11" s="4"/>
      <c r="E11" s="4">
        <f t="shared" si="0"/>
        <v>0</v>
      </c>
      <c r="F11" s="5"/>
      <c r="G11" s="4"/>
      <c r="H11" s="4"/>
      <c r="I11" s="4"/>
      <c r="J11" s="4"/>
      <c r="K11" s="4"/>
    </row>
    <row r="12" spans="1:11" ht="102.5" customHeight="1" x14ac:dyDescent="0.35">
      <c r="A12" s="4">
        <v>6</v>
      </c>
      <c r="B12" s="5" t="s">
        <v>50</v>
      </c>
      <c r="C12" s="4">
        <v>1</v>
      </c>
      <c r="D12" s="4">
        <v>5</v>
      </c>
      <c r="E12" s="4">
        <f t="shared" si="0"/>
        <v>5</v>
      </c>
      <c r="F12" s="23" t="s">
        <v>52</v>
      </c>
      <c r="G12" s="4"/>
      <c r="H12" s="4"/>
      <c r="I12" s="4"/>
      <c r="J12" s="4"/>
      <c r="K12" s="4"/>
    </row>
    <row r="13" spans="1:11" ht="92" customHeight="1" x14ac:dyDescent="0.35">
      <c r="A13" s="4">
        <v>7</v>
      </c>
      <c r="B13" s="5" t="s">
        <v>48</v>
      </c>
      <c r="C13" s="4">
        <v>1</v>
      </c>
      <c r="D13" s="4">
        <v>5</v>
      </c>
      <c r="E13" s="4">
        <f t="shared" si="0"/>
        <v>5</v>
      </c>
      <c r="F13" s="5" t="s">
        <v>54</v>
      </c>
      <c r="G13" s="4"/>
      <c r="H13" s="4"/>
      <c r="I13" s="4"/>
      <c r="J13" s="4"/>
      <c r="K13" s="4"/>
    </row>
    <row r="14" spans="1:11" ht="92.5" customHeight="1" x14ac:dyDescent="0.35">
      <c r="A14" s="4">
        <v>8</v>
      </c>
      <c r="B14" s="23" t="s">
        <v>47</v>
      </c>
      <c r="C14" s="4">
        <v>1</v>
      </c>
      <c r="D14" s="4">
        <v>5</v>
      </c>
      <c r="E14" s="4">
        <f t="shared" si="0"/>
        <v>5</v>
      </c>
      <c r="F14" s="5" t="s">
        <v>54</v>
      </c>
      <c r="G14" s="4"/>
      <c r="H14" s="4"/>
      <c r="I14" s="4"/>
      <c r="J14" s="4"/>
      <c r="K14" s="4"/>
    </row>
    <row r="15" spans="1:11" ht="73" customHeight="1" x14ac:dyDescent="0.35">
      <c r="A15" s="4">
        <v>9</v>
      </c>
      <c r="B15" s="23" t="s">
        <v>55</v>
      </c>
      <c r="C15" s="4">
        <v>1</v>
      </c>
      <c r="D15" s="4">
        <v>5</v>
      </c>
      <c r="E15" s="4">
        <f t="shared" si="0"/>
        <v>5</v>
      </c>
      <c r="F15" s="23" t="s">
        <v>56</v>
      </c>
      <c r="G15" s="4"/>
      <c r="H15" s="4"/>
      <c r="I15" s="4"/>
      <c r="J15" s="4"/>
      <c r="K15" s="4"/>
    </row>
    <row r="16" spans="1:11" ht="97" customHeight="1" x14ac:dyDescent="0.35">
      <c r="A16" s="4">
        <v>10</v>
      </c>
      <c r="B16" s="23" t="s">
        <v>49</v>
      </c>
      <c r="C16" s="4">
        <v>1</v>
      </c>
      <c r="D16" s="4">
        <v>5</v>
      </c>
      <c r="E16" s="4">
        <f t="shared" si="0"/>
        <v>5</v>
      </c>
      <c r="F16" s="23" t="s">
        <v>52</v>
      </c>
      <c r="G16" s="4"/>
      <c r="H16" s="4"/>
      <c r="I16" s="4"/>
      <c r="J16" s="4"/>
      <c r="K16" s="4"/>
    </row>
    <row r="17" spans="1:11" ht="105.5" customHeight="1" x14ac:dyDescent="0.35">
      <c r="A17" s="4">
        <v>11</v>
      </c>
      <c r="B17" s="23" t="s">
        <v>51</v>
      </c>
      <c r="C17" s="4">
        <v>1</v>
      </c>
      <c r="D17" s="4">
        <v>5</v>
      </c>
      <c r="E17" s="4">
        <f t="shared" si="0"/>
        <v>5</v>
      </c>
      <c r="F17" s="23" t="s">
        <v>57</v>
      </c>
      <c r="G17" s="4"/>
      <c r="H17" s="4"/>
      <c r="I17" s="4"/>
      <c r="J17" s="4"/>
      <c r="K17" s="4"/>
    </row>
    <row r="18" spans="1:11" ht="103" customHeight="1" x14ac:dyDescent="0.35">
      <c r="A18" s="4">
        <v>12</v>
      </c>
      <c r="B18" s="23" t="s">
        <v>53</v>
      </c>
      <c r="C18" s="4">
        <v>3</v>
      </c>
      <c r="D18" s="4">
        <v>5</v>
      </c>
      <c r="E18" s="4">
        <f t="shared" si="0"/>
        <v>15</v>
      </c>
      <c r="F18" s="23" t="s">
        <v>58</v>
      </c>
      <c r="G18" s="4"/>
      <c r="H18" s="4"/>
      <c r="I18" s="4"/>
      <c r="J18" s="4"/>
      <c r="K18" s="4"/>
    </row>
    <row r="19" spans="1:11" ht="35" customHeight="1" x14ac:dyDescent="0.35">
      <c r="A19" s="4">
        <v>13</v>
      </c>
      <c r="B19" s="7" t="s">
        <v>60</v>
      </c>
      <c r="C19" s="4"/>
      <c r="D19" s="4"/>
      <c r="E19" s="4">
        <f t="shared" si="0"/>
        <v>0</v>
      </c>
      <c r="F19" s="5"/>
      <c r="G19" s="4"/>
      <c r="H19" s="4"/>
      <c r="I19" s="4"/>
      <c r="J19" s="4"/>
      <c r="K19" s="4"/>
    </row>
    <row r="20" spans="1:11" ht="108.5" customHeight="1" x14ac:dyDescent="0.35">
      <c r="A20" s="4">
        <v>14</v>
      </c>
      <c r="B20" s="5" t="s">
        <v>61</v>
      </c>
      <c r="C20" s="4">
        <v>1</v>
      </c>
      <c r="D20" s="4">
        <v>5</v>
      </c>
      <c r="E20" s="4">
        <f t="shared" si="0"/>
        <v>5</v>
      </c>
      <c r="F20" s="23" t="s">
        <v>62</v>
      </c>
      <c r="G20" s="4"/>
      <c r="H20" s="4"/>
      <c r="I20" s="4"/>
      <c r="J20" s="4"/>
      <c r="K20" s="4"/>
    </row>
    <row r="21" spans="1:11" ht="60.5" customHeight="1" x14ac:dyDescent="0.35">
      <c r="A21" s="4">
        <v>15</v>
      </c>
      <c r="B21" s="23" t="s">
        <v>63</v>
      </c>
      <c r="C21" s="4">
        <v>1</v>
      </c>
      <c r="D21" s="4">
        <v>5</v>
      </c>
      <c r="E21" s="4">
        <f t="shared" si="0"/>
        <v>5</v>
      </c>
      <c r="F21" s="23" t="s">
        <v>35</v>
      </c>
      <c r="G21" s="4"/>
      <c r="H21" s="4"/>
      <c r="I21" s="4"/>
      <c r="J21" s="4"/>
      <c r="K21" s="4"/>
    </row>
    <row r="22" spans="1:11" ht="58.5" customHeight="1" x14ac:dyDescent="0.35">
      <c r="A22" s="4">
        <v>16</v>
      </c>
      <c r="B22" s="23" t="s">
        <v>64</v>
      </c>
      <c r="C22" s="4">
        <v>1</v>
      </c>
      <c r="D22" s="4">
        <v>4</v>
      </c>
      <c r="E22" s="4">
        <f t="shared" si="0"/>
        <v>4</v>
      </c>
      <c r="F22" s="23" t="s">
        <v>35</v>
      </c>
      <c r="G22" s="4"/>
      <c r="H22" s="4"/>
      <c r="I22" s="4"/>
      <c r="J22" s="4"/>
      <c r="K22" s="4"/>
    </row>
    <row r="23" spans="1:11" ht="94.5" customHeight="1" x14ac:dyDescent="0.35">
      <c r="A23" s="4">
        <v>17</v>
      </c>
      <c r="B23" s="5" t="s">
        <v>65</v>
      </c>
      <c r="C23" s="4">
        <v>1</v>
      </c>
      <c r="D23" s="4">
        <v>5</v>
      </c>
      <c r="E23" s="4">
        <f t="shared" si="0"/>
        <v>5</v>
      </c>
      <c r="F23" s="23" t="s">
        <v>66</v>
      </c>
      <c r="G23" s="4"/>
      <c r="H23" s="4"/>
      <c r="I23" s="4"/>
      <c r="J23" s="4"/>
      <c r="K23" s="4"/>
    </row>
    <row r="24" spans="1:11" ht="70.5" customHeight="1" x14ac:dyDescent="0.35">
      <c r="A24" s="4">
        <v>18</v>
      </c>
      <c r="B24" s="5" t="s">
        <v>67</v>
      </c>
      <c r="C24" s="4">
        <v>2</v>
      </c>
      <c r="D24" s="4">
        <v>5</v>
      </c>
      <c r="E24" s="4">
        <f t="shared" si="0"/>
        <v>10</v>
      </c>
      <c r="F24" s="23" t="s">
        <v>68</v>
      </c>
      <c r="G24" s="4"/>
      <c r="H24" s="4"/>
      <c r="I24" s="4"/>
      <c r="J24" s="4"/>
      <c r="K24" s="4"/>
    </row>
    <row r="25" spans="1:11" ht="23.5" customHeight="1" x14ac:dyDescent="0.35">
      <c r="A25" s="4">
        <v>19</v>
      </c>
      <c r="B25" s="7" t="s">
        <v>69</v>
      </c>
      <c r="C25" s="4"/>
      <c r="D25" s="4"/>
      <c r="E25" s="4">
        <f t="shared" si="0"/>
        <v>0</v>
      </c>
      <c r="F25" s="5"/>
      <c r="G25" s="4"/>
      <c r="H25" s="4"/>
      <c r="I25" s="4"/>
      <c r="J25" s="4"/>
      <c r="K25" s="4"/>
    </row>
    <row r="26" spans="1:11" ht="81" customHeight="1" x14ac:dyDescent="0.35">
      <c r="A26" s="4">
        <v>20</v>
      </c>
      <c r="B26" s="23" t="s">
        <v>70</v>
      </c>
      <c r="C26" s="4">
        <v>1</v>
      </c>
      <c r="D26" s="4">
        <v>4</v>
      </c>
      <c r="E26" s="4">
        <f t="shared" si="0"/>
        <v>4</v>
      </c>
      <c r="F26" s="23" t="s">
        <v>71</v>
      </c>
      <c r="G26" s="4"/>
      <c r="H26" s="4"/>
      <c r="I26" s="4"/>
      <c r="J26" s="4"/>
      <c r="K26" s="4"/>
    </row>
    <row r="27" spans="1:11" ht="61.5" customHeight="1" x14ac:dyDescent="0.35">
      <c r="A27" s="4">
        <v>21</v>
      </c>
      <c r="B27" s="23" t="s">
        <v>72</v>
      </c>
      <c r="C27" s="4">
        <v>2</v>
      </c>
      <c r="D27" s="4">
        <v>3</v>
      </c>
      <c r="E27" s="4">
        <f t="shared" si="0"/>
        <v>6</v>
      </c>
      <c r="F27" s="23" t="s">
        <v>73</v>
      </c>
      <c r="G27" s="4"/>
      <c r="H27" s="4"/>
      <c r="I27" s="4"/>
      <c r="J27" s="4"/>
      <c r="K27" s="4"/>
    </row>
    <row r="28" spans="1:11" ht="68.5" customHeight="1" x14ac:dyDescent="0.35">
      <c r="A28" s="4">
        <v>22</v>
      </c>
      <c r="B28" s="5" t="s">
        <v>74</v>
      </c>
      <c r="C28" s="4">
        <v>2</v>
      </c>
      <c r="D28" s="4">
        <v>5</v>
      </c>
      <c r="E28" s="4">
        <f t="shared" si="0"/>
        <v>10</v>
      </c>
      <c r="F28" s="23" t="s">
        <v>75</v>
      </c>
      <c r="G28" s="4"/>
      <c r="H28" s="4"/>
      <c r="I28" s="4"/>
      <c r="J28" s="4"/>
      <c r="K28" s="4"/>
    </row>
    <row r="29" spans="1:11" ht="24.5" customHeight="1" x14ac:dyDescent="0.35">
      <c r="A29" s="4">
        <v>23</v>
      </c>
      <c r="B29" s="7" t="s">
        <v>76</v>
      </c>
      <c r="C29" s="4"/>
      <c r="D29" s="4"/>
      <c r="E29" s="4">
        <f t="shared" si="0"/>
        <v>0</v>
      </c>
      <c r="F29" s="5"/>
      <c r="G29" s="4"/>
      <c r="H29" s="4"/>
      <c r="I29" s="4"/>
      <c r="J29" s="4"/>
      <c r="K29" s="4"/>
    </row>
    <row r="30" spans="1:11" ht="69" customHeight="1" x14ac:dyDescent="0.35">
      <c r="A30" s="4">
        <v>24</v>
      </c>
      <c r="B30" s="5" t="s">
        <v>77</v>
      </c>
      <c r="C30" s="4">
        <v>2</v>
      </c>
      <c r="D30" s="4">
        <v>3</v>
      </c>
      <c r="E30" s="4">
        <f t="shared" si="0"/>
        <v>6</v>
      </c>
      <c r="F30" s="23" t="s">
        <v>78</v>
      </c>
      <c r="G30" s="4"/>
      <c r="H30" s="4"/>
      <c r="I30" s="4"/>
      <c r="J30" s="4"/>
      <c r="K30" s="4"/>
    </row>
    <row r="31" spans="1:11" ht="56" customHeight="1" x14ac:dyDescent="0.35">
      <c r="A31" s="4">
        <v>25</v>
      </c>
      <c r="B31" s="5" t="s">
        <v>79</v>
      </c>
      <c r="C31" s="4">
        <v>2</v>
      </c>
      <c r="D31" s="4">
        <v>3</v>
      </c>
      <c r="E31" s="4">
        <f t="shared" si="0"/>
        <v>6</v>
      </c>
      <c r="F31" s="23" t="s">
        <v>80</v>
      </c>
      <c r="G31" s="4"/>
      <c r="H31" s="4"/>
      <c r="I31" s="4"/>
      <c r="J31" s="4"/>
      <c r="K31" s="4"/>
    </row>
    <row r="32" spans="1:11" ht="20" customHeight="1" x14ac:dyDescent="0.35">
      <c r="A32" s="4">
        <v>26</v>
      </c>
      <c r="B32" s="7" t="s">
        <v>81</v>
      </c>
      <c r="C32" s="4"/>
      <c r="D32" s="4"/>
      <c r="E32" s="4">
        <f t="shared" si="0"/>
        <v>0</v>
      </c>
      <c r="F32" s="5"/>
      <c r="G32" s="4"/>
      <c r="H32" s="4"/>
      <c r="I32" s="4"/>
      <c r="J32" s="4"/>
      <c r="K32" s="4"/>
    </row>
    <row r="33" spans="1:11" ht="54.5" customHeight="1" x14ac:dyDescent="0.35">
      <c r="A33" s="4">
        <v>27</v>
      </c>
      <c r="B33" s="5" t="s">
        <v>82</v>
      </c>
      <c r="C33" s="4">
        <v>1</v>
      </c>
      <c r="D33" s="4">
        <v>4</v>
      </c>
      <c r="E33" s="4">
        <f t="shared" si="0"/>
        <v>4</v>
      </c>
      <c r="F33" s="23" t="s">
        <v>83</v>
      </c>
      <c r="G33" s="4"/>
      <c r="H33" s="4"/>
      <c r="I33" s="4"/>
      <c r="J33" s="4"/>
      <c r="K33" s="4"/>
    </row>
    <row r="34" spans="1:11" ht="81.5" customHeight="1" x14ac:dyDescent="0.35">
      <c r="A34" s="4">
        <v>28</v>
      </c>
      <c r="B34" s="5" t="s">
        <v>84</v>
      </c>
      <c r="C34" s="4">
        <v>1</v>
      </c>
      <c r="D34" s="4">
        <v>4</v>
      </c>
      <c r="E34" s="4">
        <f t="shared" si="0"/>
        <v>4</v>
      </c>
      <c r="F34" s="23" t="s">
        <v>85</v>
      </c>
      <c r="G34" s="4"/>
      <c r="H34" s="4"/>
      <c r="I34" s="4"/>
      <c r="J34" s="4"/>
      <c r="K34" s="4"/>
    </row>
    <row r="35" spans="1:11" ht="21" customHeight="1" x14ac:dyDescent="0.35">
      <c r="A35" s="4">
        <v>29</v>
      </c>
      <c r="B35" s="7" t="s">
        <v>86</v>
      </c>
      <c r="C35" s="4"/>
      <c r="D35" s="4"/>
      <c r="E35" s="4">
        <f t="shared" si="0"/>
        <v>0</v>
      </c>
      <c r="F35" s="5"/>
      <c r="G35" s="4"/>
      <c r="H35" s="4"/>
      <c r="I35" s="4"/>
      <c r="J35" s="4"/>
      <c r="K35" s="4"/>
    </row>
    <row r="36" spans="1:11" ht="47" customHeight="1" x14ac:dyDescent="0.35">
      <c r="A36" s="4">
        <v>30</v>
      </c>
      <c r="B36" s="23" t="s">
        <v>87</v>
      </c>
      <c r="C36" s="4">
        <v>1</v>
      </c>
      <c r="D36" s="4">
        <v>4</v>
      </c>
      <c r="E36" s="4">
        <f t="shared" si="0"/>
        <v>4</v>
      </c>
      <c r="F36" s="23" t="s">
        <v>88</v>
      </c>
      <c r="G36" s="4"/>
      <c r="H36" s="4"/>
      <c r="I36" s="4"/>
      <c r="J36" s="4"/>
      <c r="K36" s="4"/>
    </row>
    <row r="37" spans="1:11" ht="71" customHeight="1" x14ac:dyDescent="0.35">
      <c r="A37" s="4">
        <v>31</v>
      </c>
      <c r="B37" s="5" t="s">
        <v>89</v>
      </c>
      <c r="C37" s="4">
        <v>1</v>
      </c>
      <c r="D37" s="4">
        <v>4</v>
      </c>
      <c r="E37" s="4">
        <f t="shared" si="0"/>
        <v>4</v>
      </c>
      <c r="F37" s="23" t="s">
        <v>90</v>
      </c>
      <c r="G37" s="4"/>
      <c r="H37" s="4"/>
      <c r="I37" s="4"/>
      <c r="J37" s="4"/>
      <c r="K37" s="4"/>
    </row>
    <row r="38" spans="1:11" ht="22" customHeight="1" x14ac:dyDescent="0.35">
      <c r="A38" s="4">
        <v>32</v>
      </c>
      <c r="B38" s="7" t="s">
        <v>91</v>
      </c>
      <c r="C38" s="4"/>
      <c r="D38" s="4"/>
      <c r="E38" s="4">
        <f t="shared" si="0"/>
        <v>0</v>
      </c>
      <c r="F38" s="5"/>
      <c r="G38" s="4"/>
      <c r="H38" s="4"/>
      <c r="I38" s="4"/>
      <c r="J38" s="4"/>
      <c r="K38" s="4"/>
    </row>
    <row r="39" spans="1:11" ht="70.5" customHeight="1" x14ac:dyDescent="0.35">
      <c r="A39" s="4">
        <v>33</v>
      </c>
      <c r="B39" s="5" t="s">
        <v>92</v>
      </c>
      <c r="C39" s="4">
        <v>5</v>
      </c>
      <c r="D39" s="4">
        <v>3</v>
      </c>
      <c r="E39" s="4">
        <f t="shared" si="0"/>
        <v>15</v>
      </c>
      <c r="F39" s="23" t="s">
        <v>93</v>
      </c>
      <c r="G39" s="4"/>
      <c r="H39" s="4"/>
      <c r="I39" s="4"/>
      <c r="J39" s="4"/>
      <c r="K39" s="4"/>
    </row>
    <row r="40" spans="1:11" ht="70.5" customHeight="1" x14ac:dyDescent="0.35">
      <c r="A40" s="4">
        <v>34</v>
      </c>
      <c r="B40" s="5" t="s">
        <v>94</v>
      </c>
      <c r="C40" s="4">
        <v>5</v>
      </c>
      <c r="D40" s="4">
        <v>3</v>
      </c>
      <c r="E40" s="4">
        <f t="shared" si="0"/>
        <v>15</v>
      </c>
      <c r="F40" s="23" t="s">
        <v>95</v>
      </c>
      <c r="G40" s="4"/>
      <c r="H40" s="4"/>
      <c r="I40" s="4"/>
      <c r="J40" s="4"/>
      <c r="K40" s="4"/>
    </row>
    <row r="41" spans="1:11" x14ac:dyDescent="0.35">
      <c r="A41" s="4">
        <v>35</v>
      </c>
      <c r="B41" s="5"/>
      <c r="C41" s="4"/>
      <c r="D41" s="4"/>
      <c r="E41" s="4">
        <f t="shared" si="0"/>
        <v>0</v>
      </c>
      <c r="F41" s="5"/>
      <c r="G41" s="4"/>
      <c r="H41" s="4"/>
      <c r="I41" s="4"/>
      <c r="J41" s="4"/>
      <c r="K41" s="4"/>
    </row>
    <row r="42" spans="1:11" x14ac:dyDescent="0.35">
      <c r="A42" s="4">
        <v>36</v>
      </c>
      <c r="B42" s="5"/>
      <c r="C42" s="4"/>
      <c r="D42" s="4"/>
      <c r="E42" s="4">
        <f t="shared" si="0"/>
        <v>0</v>
      </c>
      <c r="F42" s="5"/>
      <c r="G42" s="4"/>
      <c r="H42" s="4"/>
      <c r="I42" s="4"/>
      <c r="J42" s="4"/>
      <c r="K42" s="4"/>
    </row>
    <row r="43" spans="1:11" x14ac:dyDescent="0.35">
      <c r="A43" s="4">
        <v>37</v>
      </c>
      <c r="B43" s="5"/>
      <c r="C43" s="4"/>
      <c r="D43" s="4"/>
      <c r="E43" s="4">
        <f t="shared" si="0"/>
        <v>0</v>
      </c>
      <c r="F43" s="5"/>
      <c r="G43" s="4"/>
      <c r="H43" s="4"/>
      <c r="I43" s="4"/>
      <c r="J43" s="4"/>
      <c r="K43" s="4"/>
    </row>
    <row r="44" spans="1:11" x14ac:dyDescent="0.35">
      <c r="A44" s="4">
        <v>38</v>
      </c>
      <c r="B44" s="5"/>
      <c r="C44" s="4"/>
      <c r="D44" s="4"/>
      <c r="E44" s="4">
        <f t="shared" si="0"/>
        <v>0</v>
      </c>
      <c r="F44" s="5"/>
      <c r="G44" s="4"/>
      <c r="H44" s="4"/>
      <c r="I44" s="4"/>
      <c r="J44" s="4"/>
      <c r="K44" s="4"/>
    </row>
    <row r="45" spans="1:11" x14ac:dyDescent="0.35">
      <c r="A45" s="4">
        <v>39</v>
      </c>
      <c r="B45" s="5"/>
      <c r="C45" s="4"/>
      <c r="D45" s="4"/>
      <c r="E45" s="4">
        <f t="shared" si="0"/>
        <v>0</v>
      </c>
      <c r="F45" s="5"/>
      <c r="G45" s="4"/>
      <c r="H45" s="4"/>
      <c r="I45" s="4"/>
      <c r="J45" s="4"/>
      <c r="K45" s="4"/>
    </row>
    <row r="46" spans="1:11" x14ac:dyDescent="0.35">
      <c r="A46" s="4">
        <v>40</v>
      </c>
      <c r="B46" s="5"/>
      <c r="C46" s="4"/>
      <c r="D46" s="4"/>
      <c r="E46" s="4">
        <f t="shared" si="0"/>
        <v>0</v>
      </c>
      <c r="F46" s="5"/>
      <c r="G46" s="4"/>
      <c r="H46" s="4"/>
      <c r="I46" s="4"/>
      <c r="J46" s="4"/>
      <c r="K46" s="4"/>
    </row>
  </sheetData>
  <mergeCells count="8">
    <mergeCell ref="A5:E5"/>
    <mergeCell ref="C4:E4"/>
    <mergeCell ref="F5:K5"/>
    <mergeCell ref="C1:H3"/>
    <mergeCell ref="A1:B3"/>
    <mergeCell ref="I1:K1"/>
    <mergeCell ref="I2:K2"/>
    <mergeCell ref="I3:K3"/>
  </mergeCells>
  <conditionalFormatting sqref="E7:E46">
    <cfRule type="cellIs" dxfId="2" priority="3" operator="between">
      <formula>1</formula>
      <formula>3</formula>
    </cfRule>
  </conditionalFormatting>
  <conditionalFormatting sqref="E7:E46">
    <cfRule type="cellIs" dxfId="1" priority="1" operator="between">
      <formula>15</formula>
      <formula>25</formula>
    </cfRule>
    <cfRule type="cellIs" dxfId="0" priority="2" operator="between">
      <formula>4</formula>
      <formula>12</formula>
    </cfRule>
  </conditionalFormatting>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'DO NOT EDIT'!$B$2:$B$6</xm:f>
          </x14:formula1>
          <xm:sqref>C7:D46</xm:sqref>
        </x14:dataValidation>
        <x14:dataValidation type="list" allowBlank="1" showInputMessage="1" showErrorMessage="1" xr:uid="{00000000-0002-0000-0100-000001000000}">
          <x14:formula1>
            <xm:f>'DO NOT EDIT'!$D$2:$D$6</xm:f>
          </x14:formula1>
          <xm:sqref>J7:J46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zoomScaleNormal="100" workbookViewId="0">
      <selection activeCell="A5" sqref="A5:B5"/>
    </sheetView>
  </sheetViews>
  <sheetFormatPr defaultRowHeight="14.5" x14ac:dyDescent="0.35"/>
  <cols>
    <col min="1" max="1" width="17.26953125" customWidth="1"/>
    <col min="2" max="2" width="66.453125" customWidth="1"/>
  </cols>
  <sheetData>
    <row r="1" spans="1:4" ht="15" x14ac:dyDescent="0.35">
      <c r="A1" s="28"/>
      <c r="B1" s="27" t="s">
        <v>100</v>
      </c>
      <c r="C1" s="26"/>
      <c r="D1" s="26"/>
    </row>
    <row r="2" spans="1:4" ht="15" x14ac:dyDescent="0.35">
      <c r="A2" s="28"/>
      <c r="B2" s="27" t="s">
        <v>97</v>
      </c>
      <c r="C2" s="26"/>
      <c r="D2" s="26"/>
    </row>
    <row r="3" spans="1:4" ht="15" x14ac:dyDescent="0.35">
      <c r="A3" s="28"/>
      <c r="B3" s="27" t="s">
        <v>98</v>
      </c>
      <c r="C3" s="26"/>
      <c r="D3" s="26"/>
    </row>
    <row r="4" spans="1:4" ht="33.5" customHeight="1" x14ac:dyDescent="0.35">
      <c r="A4" s="41" t="s">
        <v>32</v>
      </c>
      <c r="B4" s="41" t="s">
        <v>33</v>
      </c>
    </row>
    <row r="5" spans="1:4" ht="27" customHeight="1" x14ac:dyDescent="0.35">
      <c r="A5" s="42" t="s">
        <v>25</v>
      </c>
      <c r="B5" s="42"/>
    </row>
    <row r="6" spans="1:4" ht="31" customHeight="1" x14ac:dyDescent="0.35">
      <c r="A6" s="4">
        <v>1</v>
      </c>
      <c r="B6" s="29" t="s">
        <v>20</v>
      </c>
    </row>
    <row r="7" spans="1:4" ht="18" customHeight="1" x14ac:dyDescent="0.35">
      <c r="A7" s="4">
        <v>2</v>
      </c>
      <c r="B7" s="29" t="s">
        <v>21</v>
      </c>
    </row>
    <row r="8" spans="1:4" ht="18" customHeight="1" x14ac:dyDescent="0.35">
      <c r="A8" s="4">
        <v>3</v>
      </c>
      <c r="B8" s="29" t="s">
        <v>22</v>
      </c>
    </row>
    <row r="9" spans="1:4" ht="18" customHeight="1" x14ac:dyDescent="0.35">
      <c r="A9" s="4">
        <v>4</v>
      </c>
      <c r="B9" s="29" t="s">
        <v>23</v>
      </c>
    </row>
    <row r="10" spans="1:4" ht="18" customHeight="1" x14ac:dyDescent="0.35">
      <c r="A10" s="4">
        <v>5</v>
      </c>
      <c r="B10" s="29" t="s">
        <v>24</v>
      </c>
    </row>
    <row r="11" spans="1:4" x14ac:dyDescent="0.35">
      <c r="A11" s="24"/>
      <c r="B11" s="24"/>
    </row>
    <row r="12" spans="1:4" ht="31.5" customHeight="1" x14ac:dyDescent="0.35">
      <c r="A12" s="42" t="s">
        <v>26</v>
      </c>
      <c r="B12" s="42"/>
    </row>
    <row r="13" spans="1:4" ht="43.5" customHeight="1" x14ac:dyDescent="0.35">
      <c r="A13" s="4">
        <v>1</v>
      </c>
      <c r="B13" s="29" t="s">
        <v>27</v>
      </c>
    </row>
    <row r="14" spans="1:4" ht="50" customHeight="1" x14ac:dyDescent="0.35">
      <c r="A14" s="4">
        <v>2</v>
      </c>
      <c r="B14" s="29" t="s">
        <v>28</v>
      </c>
    </row>
    <row r="15" spans="1:4" ht="50" customHeight="1" x14ac:dyDescent="0.35">
      <c r="A15" s="4">
        <v>3</v>
      </c>
      <c r="B15" s="29" t="s">
        <v>29</v>
      </c>
    </row>
    <row r="16" spans="1:4" ht="73" customHeight="1" x14ac:dyDescent="0.35">
      <c r="A16" s="4">
        <v>4</v>
      </c>
      <c r="B16" s="29" t="s">
        <v>30</v>
      </c>
    </row>
    <row r="17" spans="1:2" ht="60" customHeight="1" x14ac:dyDescent="0.35">
      <c r="A17" s="4">
        <v>5</v>
      </c>
      <c r="B17" s="29" t="s">
        <v>31</v>
      </c>
    </row>
  </sheetData>
  <mergeCells count="3">
    <mergeCell ref="A5:B5"/>
    <mergeCell ref="A12:B12"/>
    <mergeCell ref="A1:A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tabSelected="1" topLeftCell="A3" zoomScaleNormal="100" workbookViewId="0">
      <selection activeCell="A13" sqref="A13"/>
    </sheetView>
  </sheetViews>
  <sheetFormatPr defaultColWidth="9.1796875" defaultRowHeight="14" x14ac:dyDescent="0.35"/>
  <cols>
    <col min="1" max="2" width="12.6328125" style="25" customWidth="1"/>
    <col min="3" max="7" width="11.6328125" style="25" customWidth="1"/>
    <col min="8" max="16384" width="9.1796875" style="25"/>
  </cols>
  <sheetData>
    <row r="1" spans="1:7" ht="20" customHeight="1" x14ac:dyDescent="0.35">
      <c r="A1" s="30"/>
      <c r="B1" s="30"/>
      <c r="C1" s="40" t="s">
        <v>101</v>
      </c>
      <c r="D1" s="40"/>
      <c r="E1" s="10" t="s">
        <v>100</v>
      </c>
      <c r="F1" s="10"/>
      <c r="G1" s="10"/>
    </row>
    <row r="2" spans="1:7" ht="20" customHeight="1" x14ac:dyDescent="0.35">
      <c r="A2" s="30"/>
      <c r="B2" s="30"/>
      <c r="C2" s="40"/>
      <c r="D2" s="40"/>
      <c r="E2" s="10" t="s">
        <v>97</v>
      </c>
      <c r="F2" s="10"/>
      <c r="G2" s="10"/>
    </row>
    <row r="3" spans="1:7" ht="20" customHeight="1" x14ac:dyDescent="0.35">
      <c r="A3" s="30"/>
      <c r="B3" s="30"/>
      <c r="C3" s="40"/>
      <c r="D3" s="40"/>
      <c r="E3" s="10" t="s">
        <v>98</v>
      </c>
      <c r="F3" s="10"/>
      <c r="G3" s="10"/>
    </row>
    <row r="4" spans="1:7" ht="27.5" customHeight="1" x14ac:dyDescent="0.35">
      <c r="A4" s="31" t="s">
        <v>11</v>
      </c>
      <c r="B4" s="31"/>
      <c r="C4" s="32" t="s">
        <v>3</v>
      </c>
      <c r="D4" s="32"/>
      <c r="E4" s="32"/>
      <c r="F4" s="32"/>
      <c r="G4" s="32"/>
    </row>
    <row r="5" spans="1:7" ht="27" customHeight="1" x14ac:dyDescent="0.35">
      <c r="A5" s="31"/>
      <c r="B5" s="31"/>
      <c r="C5" s="33">
        <v>1</v>
      </c>
      <c r="D5" s="33">
        <v>2</v>
      </c>
      <c r="E5" s="33">
        <v>3</v>
      </c>
      <c r="F5" s="33">
        <v>4</v>
      </c>
      <c r="G5" s="33">
        <v>5</v>
      </c>
    </row>
    <row r="6" spans="1:7" ht="21" customHeight="1" x14ac:dyDescent="0.35">
      <c r="A6" s="34" t="s">
        <v>2</v>
      </c>
      <c r="B6" s="35">
        <v>1</v>
      </c>
      <c r="C6" s="36">
        <v>1</v>
      </c>
      <c r="D6" s="36">
        <v>2</v>
      </c>
      <c r="E6" s="36">
        <v>3</v>
      </c>
      <c r="F6" s="37">
        <v>4</v>
      </c>
      <c r="G6" s="37">
        <v>5</v>
      </c>
    </row>
    <row r="7" spans="1:7" ht="20.5" customHeight="1" x14ac:dyDescent="0.35">
      <c r="A7" s="34"/>
      <c r="B7" s="35">
        <v>2</v>
      </c>
      <c r="C7" s="36">
        <v>2</v>
      </c>
      <c r="D7" s="37">
        <v>4</v>
      </c>
      <c r="E7" s="37">
        <v>6</v>
      </c>
      <c r="F7" s="37">
        <v>8</v>
      </c>
      <c r="G7" s="37">
        <v>10</v>
      </c>
    </row>
    <row r="8" spans="1:7" ht="21" customHeight="1" x14ac:dyDescent="0.35">
      <c r="A8" s="34"/>
      <c r="B8" s="35">
        <v>3</v>
      </c>
      <c r="C8" s="36">
        <v>3</v>
      </c>
      <c r="D8" s="37">
        <v>6</v>
      </c>
      <c r="E8" s="37">
        <v>9</v>
      </c>
      <c r="F8" s="37">
        <v>12</v>
      </c>
      <c r="G8" s="38">
        <v>15</v>
      </c>
    </row>
    <row r="9" spans="1:7" ht="21" customHeight="1" x14ac:dyDescent="0.35">
      <c r="A9" s="34"/>
      <c r="B9" s="35">
        <v>4</v>
      </c>
      <c r="C9" s="37">
        <v>4</v>
      </c>
      <c r="D9" s="37">
        <v>8</v>
      </c>
      <c r="E9" s="37">
        <v>12</v>
      </c>
      <c r="F9" s="38">
        <v>16</v>
      </c>
      <c r="G9" s="38">
        <v>20</v>
      </c>
    </row>
    <row r="10" spans="1:7" ht="21" customHeight="1" x14ac:dyDescent="0.35">
      <c r="A10" s="34"/>
      <c r="B10" s="35">
        <v>5</v>
      </c>
      <c r="C10" s="37">
        <v>5</v>
      </c>
      <c r="D10" s="37">
        <v>10</v>
      </c>
      <c r="E10" s="38">
        <v>15</v>
      </c>
      <c r="F10" s="38">
        <v>20</v>
      </c>
      <c r="G10" s="38">
        <v>25</v>
      </c>
    </row>
    <row r="11" spans="1:7" ht="35" customHeight="1" x14ac:dyDescent="0.35">
      <c r="A11" s="36"/>
      <c r="B11" s="39" t="s">
        <v>12</v>
      </c>
      <c r="C11" s="39"/>
      <c r="D11" s="39"/>
      <c r="E11" s="39"/>
      <c r="F11" s="39"/>
      <c r="G11" s="39"/>
    </row>
    <row r="12" spans="1:7" ht="35" customHeight="1" x14ac:dyDescent="0.35">
      <c r="A12" s="37"/>
      <c r="B12" s="39" t="s">
        <v>13</v>
      </c>
      <c r="C12" s="39"/>
      <c r="D12" s="39"/>
      <c r="E12" s="39"/>
      <c r="F12" s="39"/>
      <c r="G12" s="39"/>
    </row>
    <row r="13" spans="1:7" ht="35" customHeight="1" x14ac:dyDescent="0.35">
      <c r="A13" s="38"/>
      <c r="B13" s="39" t="s">
        <v>14</v>
      </c>
      <c r="C13" s="39"/>
      <c r="D13" s="39"/>
      <c r="E13" s="39"/>
      <c r="F13" s="39"/>
      <c r="G13" s="39"/>
    </row>
  </sheetData>
  <mergeCells count="11">
    <mergeCell ref="A1:B3"/>
    <mergeCell ref="E1:G1"/>
    <mergeCell ref="E2:G2"/>
    <mergeCell ref="E3:G3"/>
    <mergeCell ref="C1:D3"/>
    <mergeCell ref="B13:G13"/>
    <mergeCell ref="A6:A10"/>
    <mergeCell ref="C4:G4"/>
    <mergeCell ref="A4:B5"/>
    <mergeCell ref="B11:G11"/>
    <mergeCell ref="B12:G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 NOT EDIT</vt:lpstr>
      <vt:lpstr>Risk Management</vt:lpstr>
      <vt:lpstr>Criteria</vt:lpstr>
      <vt:lpstr>Heat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2024-05-21T11:18:41Z</dcterms:modified>
</cp:coreProperties>
</file>