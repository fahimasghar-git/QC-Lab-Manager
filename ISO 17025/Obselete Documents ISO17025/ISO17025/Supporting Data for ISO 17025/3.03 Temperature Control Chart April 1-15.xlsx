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6.3 Environmental Conditions\"/>
    </mc:Choice>
  </mc:AlternateContent>
  <xr:revisionPtr revIDLastSave="0" documentId="13_ncr:1_{93D4301E-C454-418A-8396-FEEAF89A1F95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Main Hall-Sep-1" sheetId="6" r:id="rId1"/>
    <sheet name="icp-Sep-1" sheetId="4" r:id="rId2"/>
    <sheet name="Micro-Sep-1" sheetId="10" r:id="rId3"/>
    <sheet name="SR-Room-Sep-1" sheetId="14" r:id="rId4"/>
  </sheets>
  <definedNames>
    <definedName name="_1_Apr_2021">'SR-Room-Sep-1'!$B$10:$B$29</definedName>
    <definedName name="_xlnm.Print_Area" localSheetId="1">'icp-Sep-1'!$A$1:$H$48</definedName>
    <definedName name="_xlnm.Print_Area" localSheetId="0">'Main Hall-Sep-1'!$A$1:$H$50</definedName>
    <definedName name="_xlnm.Print_Area" localSheetId="2">'Micro-Sep-1'!$A$1:$H$50</definedName>
    <definedName name="_xlnm.Print_Area" localSheetId="3">'SR-Room-Sep-1'!$A$1:$H$49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4" l="1"/>
  <c r="B36" i="10"/>
  <c r="B36" i="6" l="1"/>
  <c r="B36" i="4"/>
  <c r="F11" i="14" l="1"/>
  <c r="J24" i="14" l="1"/>
  <c r="L24" i="14"/>
  <c r="J25" i="14"/>
  <c r="L25" i="14"/>
  <c r="J26" i="14"/>
  <c r="L26" i="14"/>
  <c r="J27" i="14"/>
  <c r="L27" i="14"/>
  <c r="J28" i="14"/>
  <c r="L28" i="14"/>
  <c r="J29" i="14"/>
  <c r="L29" i="14"/>
  <c r="J30" i="14"/>
  <c r="L30" i="14"/>
  <c r="J31" i="14"/>
  <c r="L31" i="14"/>
  <c r="J32" i="14"/>
  <c r="L32" i="14"/>
  <c r="J33" i="14"/>
  <c r="L33" i="14"/>
  <c r="J34" i="14"/>
  <c r="L34" i="14"/>
  <c r="J35" i="14"/>
  <c r="L35" i="14"/>
  <c r="J31" i="6" l="1"/>
  <c r="L31" i="6"/>
  <c r="J32" i="6"/>
  <c r="L32" i="6"/>
  <c r="J33" i="6"/>
  <c r="L33" i="6"/>
  <c r="J34" i="6"/>
  <c r="L34" i="6"/>
  <c r="J35" i="6"/>
  <c r="L35" i="6"/>
  <c r="F31" i="6" l="1"/>
  <c r="F32" i="6"/>
  <c r="F33" i="6"/>
  <c r="F34" i="6"/>
  <c r="F35" i="6"/>
  <c r="F30" i="14" l="1"/>
  <c r="F31" i="14"/>
  <c r="F32" i="14"/>
  <c r="F33" i="14"/>
  <c r="F34" i="14"/>
  <c r="F35" i="14"/>
  <c r="F12" i="6" l="1"/>
  <c r="J12" i="6"/>
  <c r="L12" i="6"/>
  <c r="F13" i="6"/>
  <c r="J13" i="6"/>
  <c r="L13" i="6"/>
  <c r="F14" i="6"/>
  <c r="J14" i="6"/>
  <c r="L14" i="6"/>
  <c r="F15" i="6"/>
  <c r="J15" i="6"/>
  <c r="L15" i="6"/>
  <c r="F16" i="6"/>
  <c r="J16" i="6"/>
  <c r="L16" i="6"/>
  <c r="F17" i="6"/>
  <c r="J17" i="6"/>
  <c r="L17" i="6"/>
  <c r="F18" i="6"/>
  <c r="J18" i="6"/>
  <c r="L18" i="6"/>
  <c r="F19" i="6"/>
  <c r="J19" i="6"/>
  <c r="L19" i="6"/>
  <c r="F20" i="6"/>
  <c r="J20" i="6"/>
  <c r="L20" i="6"/>
  <c r="F21" i="6"/>
  <c r="J21" i="6"/>
  <c r="L21" i="6"/>
  <c r="F22" i="6"/>
  <c r="J22" i="6"/>
  <c r="L22" i="6"/>
  <c r="F23" i="6"/>
  <c r="J23" i="6"/>
  <c r="L23" i="6"/>
  <c r="F24" i="6"/>
  <c r="J24" i="6"/>
  <c r="L24" i="6"/>
  <c r="F25" i="6"/>
  <c r="J25" i="6"/>
  <c r="L25" i="6"/>
  <c r="F26" i="6"/>
  <c r="J26" i="6"/>
  <c r="L26" i="6"/>
  <c r="F27" i="6"/>
  <c r="J27" i="6"/>
  <c r="L27" i="6"/>
  <c r="F28" i="6"/>
  <c r="J28" i="6"/>
  <c r="L28" i="6"/>
  <c r="F29" i="6"/>
  <c r="J29" i="6"/>
  <c r="L29" i="6"/>
  <c r="F30" i="6"/>
  <c r="J30" i="6"/>
  <c r="L30" i="6"/>
  <c r="L11" i="10" l="1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10" i="10"/>
  <c r="L10" i="6"/>
  <c r="L11" i="6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10" i="4"/>
  <c r="F29" i="14" l="1"/>
  <c r="F28" i="14"/>
  <c r="F27" i="14"/>
  <c r="F26" i="14"/>
  <c r="F25" i="14"/>
  <c r="F24" i="14"/>
  <c r="F35" i="10" l="1"/>
  <c r="F34" i="10"/>
  <c r="F33" i="10"/>
  <c r="F32" i="10"/>
  <c r="F31" i="10"/>
  <c r="F30" i="10"/>
  <c r="F35" i="4"/>
  <c r="F34" i="4"/>
  <c r="F33" i="4"/>
  <c r="F32" i="4"/>
  <c r="F31" i="4"/>
  <c r="F30" i="4"/>
  <c r="F23" i="14" l="1"/>
  <c r="F22" i="14"/>
  <c r="F21" i="14"/>
  <c r="F20" i="14"/>
  <c r="F19" i="14"/>
  <c r="F18" i="14"/>
  <c r="F17" i="14"/>
  <c r="F16" i="14"/>
  <c r="F15" i="14"/>
  <c r="F14" i="14"/>
  <c r="F29" i="10"/>
  <c r="F28" i="10"/>
  <c r="F27" i="10"/>
  <c r="F26" i="10"/>
  <c r="F25" i="10"/>
  <c r="F24" i="10"/>
  <c r="F23" i="10"/>
  <c r="F22" i="10"/>
  <c r="F21" i="10"/>
  <c r="F20" i="10"/>
  <c r="F19" i="10"/>
  <c r="F18" i="10"/>
  <c r="F29" i="4"/>
  <c r="F28" i="4"/>
  <c r="F27" i="4"/>
  <c r="F26" i="4"/>
  <c r="F25" i="4"/>
  <c r="F24" i="4"/>
  <c r="F23" i="4"/>
  <c r="F22" i="4"/>
  <c r="F21" i="4"/>
  <c r="F20" i="4"/>
  <c r="F19" i="4"/>
  <c r="F18" i="4"/>
  <c r="F13" i="14" l="1"/>
  <c r="F12" i="14"/>
  <c r="F10" i="14"/>
  <c r="F11" i="6"/>
  <c r="F10" i="6"/>
  <c r="F17" i="4"/>
  <c r="F16" i="4"/>
  <c r="F15" i="4"/>
  <c r="F14" i="4"/>
  <c r="F13" i="4"/>
  <c r="F12" i="4"/>
  <c r="F11" i="4"/>
  <c r="F10" i="4"/>
  <c r="F17" i="10"/>
  <c r="F16" i="10"/>
  <c r="F15" i="10"/>
  <c r="F14" i="10"/>
  <c r="F13" i="10"/>
  <c r="F12" i="10"/>
  <c r="F11" i="10"/>
  <c r="F10" i="10"/>
  <c r="L23" i="14" l="1"/>
  <c r="J23" i="14"/>
  <c r="L22" i="14"/>
  <c r="J22" i="14"/>
  <c r="L21" i="14"/>
  <c r="J21" i="14"/>
  <c r="L20" i="14"/>
  <c r="J20" i="14"/>
  <c r="L19" i="14"/>
  <c r="J19" i="14"/>
  <c r="L18" i="14"/>
  <c r="J18" i="14"/>
  <c r="L17" i="14"/>
  <c r="J17" i="14"/>
  <c r="L16" i="14"/>
  <c r="J16" i="14"/>
  <c r="L15" i="14"/>
  <c r="J15" i="14"/>
  <c r="L14" i="14"/>
  <c r="J14" i="14"/>
  <c r="L13" i="14"/>
  <c r="J13" i="14"/>
  <c r="L12" i="14"/>
  <c r="J12" i="14"/>
  <c r="L11" i="14"/>
  <c r="J11" i="14"/>
  <c r="L10" i="14"/>
  <c r="J10" i="14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11" i="6"/>
  <c r="J10" i="6"/>
  <c r="J35" i="4" l="1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</calcChain>
</file>

<file path=xl/sharedStrings.xml><?xml version="1.0" encoding="utf-8"?>
<sst xmlns="http://schemas.openxmlformats.org/spreadsheetml/2006/main" count="629" uniqueCount="69">
  <si>
    <t>Page 1 of 1</t>
  </si>
  <si>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</si>
  <si>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</si>
  <si>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</si>
  <si>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</si>
  <si>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</si>
  <si>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</si>
  <si>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</si>
  <si>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</si>
  <si>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</si>
  <si>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</si>
  <si>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</si>
  <si>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</si>
  <si>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</si>
  <si>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</si>
  <si>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</si>
  <si>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</si>
  <si>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</si>
  <si>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</si>
  <si>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</si>
  <si>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QAM Remarks:</t>
  </si>
  <si>
    <t>Chemical Laboratory (ICP-AES Room)</t>
  </si>
  <si>
    <t>Duration:</t>
  </si>
  <si>
    <t>Device ID:</t>
  </si>
  <si>
    <t>Wet &amp; Dry Bulb Thermometer</t>
  </si>
  <si>
    <t>Action Taken, if any</t>
  </si>
  <si>
    <t>Time</t>
  </si>
  <si>
    <t>11:00 A.M.</t>
  </si>
  <si>
    <t>03:00 P.M.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</si>
  <si>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</si>
  <si>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</si>
  <si>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</si>
  <si>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</si>
  <si>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</si>
  <si>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</si>
  <si>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</si>
  <si>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</si>
  <si>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</si>
  <si>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</si>
  <si>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</si>
  <si>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ESP-LAB-WDT-003</t>
  </si>
  <si>
    <t>ESP-LAB-WDT-001</t>
  </si>
  <si>
    <t>Main Hall</t>
  </si>
  <si>
    <t>ESP-LAB-WDT-006</t>
  </si>
  <si>
    <t>ESP-LAB-WDT-002</t>
  </si>
  <si>
    <t>Micro Biology Section</t>
  </si>
  <si>
    <t>Sample Recipt Room</t>
  </si>
  <si>
    <t>Doc. No:</t>
  </si>
  <si>
    <t>SOP-019/F-02</t>
  </si>
  <si>
    <t>Rev.</t>
  </si>
  <si>
    <t>Effective:</t>
  </si>
  <si>
    <t>Day</t>
  </si>
  <si>
    <t>Monday</t>
  </si>
  <si>
    <t>02:00 P.M.</t>
  </si>
  <si>
    <t>Average</t>
  </si>
  <si>
    <t>Maximum Temp.</t>
  </si>
  <si>
    <t>Minimum Temp.</t>
  </si>
  <si>
    <t>March-2022 (First Half)</t>
  </si>
  <si>
    <t>april-2022 (First Half)</t>
  </si>
  <si>
    <t>friday</t>
  </si>
  <si>
    <t>saturday</t>
  </si>
  <si>
    <t>monday</t>
  </si>
  <si>
    <t>tuesday</t>
  </si>
  <si>
    <t>wednesday</t>
  </si>
  <si>
    <t>thursday</t>
  </si>
  <si>
    <t>Friday</t>
  </si>
  <si>
    <t>Thursday</t>
  </si>
  <si>
    <t>April-2022 (First Half)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</si>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</sst>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dashDot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dashDotDot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9" fillId="0" borderId="8" xfId="0" applyFont="1" applyBorder="1"/>
    <xf numFmtId="0" fontId="10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0" fillId="0" borderId="0" xfId="0" applyFont="1"/>
    <xf numFmtId="0" fontId="3" fillId="0" borderId="9" xfId="0" applyFont="1" applyBorder="1" applyAlignment="1">
      <alignment horizontal="justify" vertical="center" wrapText="1"/>
    </xf>
    <xf numFmtId="0" fontId="4" fillId="0" borderId="9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right" vertical="center" wrapText="1"/>
    </xf>
    <xf numFmtId="15" fontId="4" fillId="0" borderId="9" xfId="0" applyNumberFormat="1" applyFont="1" applyBorder="1" applyAlignment="1">
      <alignment horizontal="justify" vertical="center" wrapText="1"/>
    </xf>
    <xf numFmtId="0" fontId="4" fillId="0" borderId="9" xfId="0" applyFont="1" applyBorder="1" applyAlignment="1">
      <alignment horizontal="right" vertical="center" wrapText="1"/>
    </xf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vertical="top"/>
    </xf>
    <xf numFmtId="0" fontId="2" fillId="0" borderId="10" xfId="0" applyFont="1" applyBorder="1"/>
    <xf numFmtId="0" fontId="2" fillId="0" borderId="11" xfId="0" applyFont="1" applyBorder="1"/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Hall-Sep-1'!$K$9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Hall-Sep-1'!$K$10:$K$35</c:f>
              <c:numCache>
                <c:formatCode>0.0</c:formatCode>
                <c:ptCount val="2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Hall-Sep-1'!$L$9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Hall-Sep-1'!$L$10:$L$35</c:f>
              <c:numCache>
                <c:formatCode>0.0</c:formatCode>
                <c:ptCount val="26"/>
                <c:pt idx="0">
                  <c:v>24</c:v>
                </c:pt>
                <c:pt idx="1">
                  <c:v>24</c:v>
                </c:pt>
                <c:pt idx="2">
                  <c:v>25</c:v>
                </c:pt>
                <c:pt idx="3">
                  <c:v>25</c:v>
                </c:pt>
                <c:pt idx="4">
                  <c:v>23</c:v>
                </c:pt>
                <c:pt idx="5">
                  <c:v>23</c:v>
                </c:pt>
                <c:pt idx="6">
                  <c:v>24</c:v>
                </c:pt>
                <c:pt idx="7">
                  <c:v>24</c:v>
                </c:pt>
                <c:pt idx="8">
                  <c:v>25</c:v>
                </c:pt>
                <c:pt idx="9">
                  <c:v>25</c:v>
                </c:pt>
                <c:pt idx="10">
                  <c:v>23</c:v>
                </c:pt>
                <c:pt idx="11">
                  <c:v>23</c:v>
                </c:pt>
                <c:pt idx="12">
                  <c:v>25</c:v>
                </c:pt>
                <c:pt idx="13">
                  <c:v>25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25</c:v>
                </c:pt>
                <c:pt idx="21">
                  <c:v>25</c:v>
                </c:pt>
                <c:pt idx="22">
                  <c:v>26</c:v>
                </c:pt>
                <c:pt idx="23">
                  <c:v>26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Hall-Sep-1'!$M$9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Hall-Sep-1'!$M$10:$M$35</c:f>
              <c:numCache>
                <c:formatCode>0.0</c:formatCode>
                <c:ptCount val="26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Hall-Sep-1'!$N$9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Hall-Sep-1'!$N$10:$N$35</c:f>
              <c:numCache>
                <c:formatCode>0.0</c:formatCode>
                <c:ptCount val="26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Hall-Sep-1'!$O$9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Hall-Sep-1'!$O$10:$O$35</c:f>
              <c:numCache>
                <c:formatCode>0.0</c:formatCode>
                <c:ptCount val="2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Hall-Sep-1'!$P$9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Hall-Sep-1'!$P$10:$P$35</c:f>
              <c:numCache>
                <c:formatCode>0.0</c:formatCode>
                <c:ptCount val="2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'icp-Sep-1'!$K$9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'icp-Sep-1'!$K$10:$K$35</c:f>
              <c:numCache>
                <c:formatCode>0.0</c:formatCode>
                <c:ptCount val="2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'icp-Sep-1'!$L$9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'icp-Sep-1'!$L$10:$L$35</c:f>
              <c:numCache>
                <c:formatCode>0.0</c:formatCode>
                <c:ptCount val="26"/>
                <c:pt idx="0">
                  <c:v>24</c:v>
                </c:pt>
                <c:pt idx="1">
                  <c:v>24</c:v>
                </c:pt>
                <c:pt idx="2">
                  <c:v>23</c:v>
                </c:pt>
                <c:pt idx="3">
                  <c:v>23</c:v>
                </c:pt>
                <c:pt idx="4">
                  <c:v>25</c:v>
                </c:pt>
                <c:pt idx="5">
                  <c:v>25</c:v>
                </c:pt>
                <c:pt idx="6">
                  <c:v>24</c:v>
                </c:pt>
                <c:pt idx="7">
                  <c:v>24</c:v>
                </c:pt>
                <c:pt idx="8">
                  <c:v>23</c:v>
                </c:pt>
                <c:pt idx="9">
                  <c:v>23</c:v>
                </c:pt>
                <c:pt idx="10">
                  <c:v>25</c:v>
                </c:pt>
                <c:pt idx="11">
                  <c:v>25</c:v>
                </c:pt>
                <c:pt idx="12">
                  <c:v>23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24</c:v>
                </c:pt>
                <c:pt idx="2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'icp-Sep-1'!$M$9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'icp-Sep-1'!$M$10:$M$35</c:f>
              <c:numCache>
                <c:formatCode>0.0</c:formatCode>
                <c:ptCount val="26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'icp-Sep-1'!$N$9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'icp-Sep-1'!$N$10:$N$35</c:f>
              <c:numCache>
                <c:formatCode>0.0</c:formatCode>
                <c:ptCount val="26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'icp-Sep-1'!$O$9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'icp-Sep-1'!$O$10:$O$35</c:f>
              <c:numCache>
                <c:formatCode>0.0</c:formatCode>
                <c:ptCount val="2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'icp-Sep-1'!$P$9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'icp-Sep-1'!$P$10:$P$35</c:f>
              <c:numCache>
                <c:formatCode>0.0</c:formatCode>
                <c:ptCount val="2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67-4F57-BDE6-43A63684B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96863824"/>
        <c:axId val="-1616867264"/>
      </c:lineChart>
      <c:catAx>
        <c:axId val="-189686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6867264"/>
        <c:crosses val="autoZero"/>
        <c:auto val="1"/>
        <c:lblAlgn val="ctr"/>
        <c:lblOffset val="100"/>
        <c:noMultiLvlLbl val="0"/>
      </c:catAx>
      <c:valAx>
        <c:axId val="-1616867264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96863824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'Micro-Sep-1'!$K$9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'Micro-Sep-1'!$K$10:$K$35</c:f>
              <c:numCache>
                <c:formatCode>0.0</c:formatCode>
                <c:ptCount val="2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'Micro-Sep-1'!$L$9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'Micro-Sep-1'!$L$10:$L$35</c:f>
              <c:numCache>
                <c:formatCode>0.0</c:formatCode>
                <c:ptCount val="26"/>
                <c:pt idx="0">
                  <c:v>25</c:v>
                </c:pt>
                <c:pt idx="1">
                  <c:v>25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23</c:v>
                </c:pt>
                <c:pt idx="9">
                  <c:v>23</c:v>
                </c:pt>
                <c:pt idx="10">
                  <c:v>25</c:v>
                </c:pt>
                <c:pt idx="11">
                  <c:v>25</c:v>
                </c:pt>
                <c:pt idx="12">
                  <c:v>24</c:v>
                </c:pt>
                <c:pt idx="13">
                  <c:v>24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24</c:v>
                </c:pt>
                <c:pt idx="19">
                  <c:v>24</c:v>
                </c:pt>
                <c:pt idx="20">
                  <c:v>25</c:v>
                </c:pt>
                <c:pt idx="21">
                  <c:v>25</c:v>
                </c:pt>
                <c:pt idx="22">
                  <c:v>26</c:v>
                </c:pt>
                <c:pt idx="23">
                  <c:v>26</c:v>
                </c:pt>
                <c:pt idx="24">
                  <c:v>23</c:v>
                </c:pt>
                <c:pt idx="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'Micro-Sep-1'!$M$9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'Micro-Sep-1'!$M$10:$M$35</c:f>
              <c:numCache>
                <c:formatCode>0.0</c:formatCode>
                <c:ptCount val="26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'Micro-Sep-1'!$N$9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'Micro-Sep-1'!$N$10:$N$35</c:f>
              <c:numCache>
                <c:formatCode>0.0</c:formatCode>
                <c:ptCount val="26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'Micro-Sep-1'!$O$9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'Micro-Sep-1'!$O$10:$O$35</c:f>
              <c:numCache>
                <c:formatCode>0.0</c:formatCode>
                <c:ptCount val="2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'Micro-Sep-1'!$P$9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'Micro-Sep-1'!$P$10:$P$35</c:f>
              <c:numCache>
                <c:formatCode>0.0</c:formatCode>
                <c:ptCount val="2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5-4195-A986-D1E2BD6E5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16868352"/>
        <c:axId val="-1616872160"/>
      </c:lineChart>
      <c:catAx>
        <c:axId val="-161686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6872160"/>
        <c:crosses val="autoZero"/>
        <c:auto val="1"/>
        <c:lblAlgn val="ctr"/>
        <c:lblOffset val="100"/>
        <c:noMultiLvlLbl val="0"/>
      </c:catAx>
      <c:valAx>
        <c:axId val="-161687216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6868352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'SR-Room-Sep-1'!$K$9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'SR-Room-Sep-1'!$K$10:$K$35</c:f>
              <c:numCache>
                <c:formatCode>0.0</c:formatCode>
                <c:ptCount val="2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'SR-Room-Sep-1'!$L$9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'SR-Room-Sep-1'!$L$10:$L$35</c:f>
              <c:numCache>
                <c:formatCode>0.0</c:formatCode>
                <c:ptCount val="26"/>
                <c:pt idx="0">
                  <c:v>25</c:v>
                </c:pt>
                <c:pt idx="1">
                  <c:v>25</c:v>
                </c:pt>
                <c:pt idx="2">
                  <c:v>23</c:v>
                </c:pt>
                <c:pt idx="3">
                  <c:v>23</c:v>
                </c:pt>
                <c:pt idx="4">
                  <c:v>24</c:v>
                </c:pt>
                <c:pt idx="5">
                  <c:v>24</c:v>
                </c:pt>
                <c:pt idx="6">
                  <c:v>23</c:v>
                </c:pt>
                <c:pt idx="7">
                  <c:v>23</c:v>
                </c:pt>
                <c:pt idx="8">
                  <c:v>25</c:v>
                </c:pt>
                <c:pt idx="9">
                  <c:v>25</c:v>
                </c:pt>
                <c:pt idx="10">
                  <c:v>23</c:v>
                </c:pt>
                <c:pt idx="11">
                  <c:v>23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23</c:v>
                </c:pt>
                <c:pt idx="17">
                  <c:v>23</c:v>
                </c:pt>
                <c:pt idx="18">
                  <c:v>24</c:v>
                </c:pt>
                <c:pt idx="19">
                  <c:v>24</c:v>
                </c:pt>
                <c:pt idx="20">
                  <c:v>23</c:v>
                </c:pt>
                <c:pt idx="21">
                  <c:v>23</c:v>
                </c:pt>
                <c:pt idx="22">
                  <c:v>25</c:v>
                </c:pt>
                <c:pt idx="23">
                  <c:v>25</c:v>
                </c:pt>
                <c:pt idx="24">
                  <c:v>24</c:v>
                </c:pt>
                <c:pt idx="2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'SR-Room-Sep-1'!$M$9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'SR-Room-Sep-1'!$M$10:$M$35</c:f>
              <c:numCache>
                <c:formatCode>0.0</c:formatCode>
                <c:ptCount val="26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'SR-Room-Sep-1'!$N$9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'SR-Room-Sep-1'!$N$10:$N$35</c:f>
              <c:numCache>
                <c:formatCode>0.0</c:formatCode>
                <c:ptCount val="26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'SR-Room-Sep-1'!$O$9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'SR-Room-Sep-1'!$O$10:$O$35</c:f>
              <c:numCache>
                <c:formatCode>0.0</c:formatCode>
                <c:ptCount val="2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'SR-Room-Sep-1'!$P$9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'SR-Room-Sep-1'!$P$10:$P$35</c:f>
              <c:numCache>
                <c:formatCode>0.0</c:formatCode>
                <c:ptCount val="2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1-4A24-A5D3-0B55B8242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16879776"/>
        <c:axId val="-1616867808"/>
      </c:lineChart>
      <c:catAx>
        <c:axId val="-161687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6867808"/>
        <c:crosses val="autoZero"/>
        <c:auto val="1"/>
        <c:lblAlgn val="ctr"/>
        <c:lblOffset val="100"/>
        <c:noMultiLvlLbl val="0"/>
      </c:catAx>
      <c:valAx>
        <c:axId val="-1616867808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6879776"/>
        <c:crosses val="autoZero"/>
        <c:crossBetween val="between"/>
        <c:majorUnit val="2"/>
        <c:min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40822</xdr:rowOff>
    </xdr:from>
    <xdr:to>
      <xdr:col>7</xdr:col>
      <xdr:colOff>1019175</xdr:colOff>
      <xdr:row>7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392642</xdr:colOff>
      <xdr:row>1</xdr:row>
      <xdr:rowOff>1</xdr:rowOff>
    </xdr:to>
    <xdr:pic>
      <xdr:nvPicPr>
        <xdr:cNvPr id="4" name="Picture 3" descr="espak_logo_gre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40822</xdr:rowOff>
    </xdr:from>
    <xdr:to>
      <xdr:col>7</xdr:col>
      <xdr:colOff>1019175</xdr:colOff>
      <xdr:row>7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266700</xdr:colOff>
      <xdr:row>1</xdr:row>
      <xdr:rowOff>1</xdr:rowOff>
    </xdr:to>
    <xdr:pic>
      <xdr:nvPicPr>
        <xdr:cNvPr id="4" name="Picture 3" descr="espak_logo_gre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40822</xdr:rowOff>
    </xdr:from>
    <xdr:to>
      <xdr:col>7</xdr:col>
      <xdr:colOff>1019175</xdr:colOff>
      <xdr:row>7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285750</xdr:colOff>
      <xdr:row>1</xdr:row>
      <xdr:rowOff>1</xdr:rowOff>
    </xdr:to>
    <xdr:pic>
      <xdr:nvPicPr>
        <xdr:cNvPr id="4" name="Picture 3" descr="espak_logo_gre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285750</xdr:colOff>
      <xdr:row>1</xdr:row>
      <xdr:rowOff>1</xdr:rowOff>
    </xdr:to>
    <xdr:pic>
      <xdr:nvPicPr>
        <xdr:cNvPr id="5" name="Picture 4" descr="espak_logo_gre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40822</xdr:rowOff>
    </xdr:from>
    <xdr:to>
      <xdr:col>7</xdr:col>
      <xdr:colOff>1019175</xdr:colOff>
      <xdr:row>7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314325</xdr:colOff>
      <xdr:row>1</xdr:row>
      <xdr:rowOff>1</xdr:rowOff>
    </xdr:to>
    <xdr:pic>
      <xdr:nvPicPr>
        <xdr:cNvPr id="4" name="Picture 3" descr="espak_logo_gre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314325</xdr:colOff>
      <xdr:row>1</xdr:row>
      <xdr:rowOff>1</xdr:rowOff>
    </xdr:to>
    <xdr:pic>
      <xdr:nvPicPr>
        <xdr:cNvPr id="5" name="Picture 4" descr="espak_logo_gre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57151</xdr:colOff>
      <xdr:row>0</xdr:row>
      <xdr:rowOff>19051</xdr:rowOff>
    </xdr:from>
    <xdr:to>
      <xdr:col>1</xdr:col>
      <xdr:colOff>314325</xdr:colOff>
      <xdr:row>1</xdr:row>
      <xdr:rowOff>1</xdr:rowOff>
    </xdr:to>
    <xdr:pic>
      <xdr:nvPicPr>
        <xdr:cNvPr id="6" name="Picture 5" descr="espak_logo_green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19051"/>
          <a:ext cx="1381124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view="pageBreakPreview" zoomScaleNormal="100" zoomScaleSheetLayoutView="100" workbookViewId="0">
      <selection activeCell="E8" sqref="E8"/>
    </sheetView>
  </sheetViews>
  <sheetFormatPr defaultColWidth="9.1796875" defaultRowHeight="16" x14ac:dyDescent="0.45"/>
  <cols>
    <col min="1" max="2" width="15.7265625" style="3" customWidth="1"/>
    <col min="3" max="3" width="15.54296875" style="34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41" customFormat="1" ht="21" customHeight="1" x14ac:dyDescent="0.45">
      <c r="A1" s="37"/>
      <c r="B1" s="38"/>
      <c r="C1" s="38"/>
      <c r="D1" s="54" t="s">
        <v>4</v>
      </c>
      <c r="E1" s="54"/>
      <c r="F1" s="54"/>
      <c r="G1" s="39"/>
      <c r="H1" s="40"/>
    </row>
    <row r="2" spans="1:16" x14ac:dyDescent="0.45">
      <c r="A2" s="6"/>
      <c r="B2" s="5"/>
      <c r="C2" s="5"/>
    </row>
    <row r="3" spans="1:16" ht="19.5" customHeight="1" x14ac:dyDescent="0.45">
      <c r="A3" s="7" t="s">
        <v>5</v>
      </c>
      <c r="B3" s="2"/>
      <c r="C3" s="4"/>
      <c r="D3" s="4" t="s">
        <v>30</v>
      </c>
      <c r="E3" s="2"/>
      <c r="F3" s="7" t="s">
        <v>22</v>
      </c>
      <c r="G3" s="8" t="s">
        <v>58</v>
      </c>
      <c r="H3" s="9"/>
    </row>
    <row r="4" spans="1:16" ht="21.75" customHeight="1" x14ac:dyDescent="0.45">
      <c r="A4" s="7" t="s">
        <v>18</v>
      </c>
      <c r="B4" s="2"/>
      <c r="C4" s="4"/>
      <c r="D4" s="4" t="s">
        <v>42</v>
      </c>
      <c r="E4" s="11"/>
      <c r="F4" s="12" t="s">
        <v>19</v>
      </c>
      <c r="G4" s="10" t="s">
        <v>24</v>
      </c>
      <c r="H4" s="9"/>
    </row>
    <row r="5" spans="1:16" ht="16.5" x14ac:dyDescent="0.45">
      <c r="A5" s="7" t="s">
        <v>31</v>
      </c>
      <c r="B5" s="2"/>
      <c r="C5" s="4"/>
      <c r="D5" s="28">
        <v>25</v>
      </c>
      <c r="E5" s="13"/>
      <c r="F5" s="12" t="s">
        <v>23</v>
      </c>
      <c r="G5" s="14" t="s">
        <v>41</v>
      </c>
      <c r="H5" s="13"/>
    </row>
    <row r="6" spans="1:16" ht="16.5" x14ac:dyDescent="0.45">
      <c r="A6" s="7" t="s">
        <v>32</v>
      </c>
      <c r="B6" s="2"/>
      <c r="C6" s="4"/>
      <c r="D6" s="28">
        <v>23</v>
      </c>
      <c r="E6" s="15"/>
      <c r="F6" s="12" t="s">
        <v>6</v>
      </c>
      <c r="G6" s="14" t="s">
        <v>33</v>
      </c>
      <c r="H6" s="15"/>
    </row>
    <row r="7" spans="1:16" ht="16.5" x14ac:dyDescent="0.45">
      <c r="A7" s="7" t="s">
        <v>34</v>
      </c>
      <c r="B7" s="2"/>
      <c r="C7" s="4"/>
      <c r="D7" s="28">
        <v>21</v>
      </c>
      <c r="E7" s="15"/>
      <c r="F7" s="12" t="s">
        <v>7</v>
      </c>
      <c r="G7" s="14" t="s">
        <v>35</v>
      </c>
      <c r="H7" s="15"/>
    </row>
    <row r="8" spans="1:16" ht="339.75" customHeight="1" x14ac:dyDescent="0.45">
      <c r="D8" s="16"/>
      <c r="F8" s="16"/>
    </row>
    <row r="9" spans="1:16" ht="46.5" customHeight="1" x14ac:dyDescent="0.45">
      <c r="A9" s="1" t="s">
        <v>29</v>
      </c>
      <c r="B9" s="1" t="s">
        <v>3</v>
      </c>
      <c r="C9" s="1" t="s">
        <v>51</v>
      </c>
      <c r="D9" s="1" t="s">
        <v>26</v>
      </c>
      <c r="E9" s="1" t="s">
        <v>36</v>
      </c>
      <c r="F9" s="1" t="s">
        <v>37</v>
      </c>
      <c r="G9" s="1" t="s">
        <v>8</v>
      </c>
      <c r="H9" s="1" t="s">
        <v>25</v>
      </c>
      <c r="J9" s="25" t="s">
        <v>15</v>
      </c>
      <c r="K9" s="26" t="s">
        <v>38</v>
      </c>
      <c r="L9" s="26" t="s">
        <v>39</v>
      </c>
      <c r="M9" s="26" t="s">
        <v>11</v>
      </c>
      <c r="N9" s="26" t="s">
        <v>12</v>
      </c>
      <c r="O9" s="26" t="s">
        <v>13</v>
      </c>
      <c r="P9" s="26" t="s">
        <v>14</v>
      </c>
    </row>
    <row r="10" spans="1:16" ht="20.149999999999999" customHeight="1" x14ac:dyDescent="0.45">
      <c r="A10" s="22">
        <v>1</v>
      </c>
      <c r="B10" s="21">
        <v>44652</v>
      </c>
      <c r="C10" s="21" t="s">
        <v>65</v>
      </c>
      <c r="D10" s="22" t="s">
        <v>27</v>
      </c>
      <c r="E10" s="23">
        <v>24</v>
      </c>
      <c r="F10" s="23">
        <f t="shared" ref="F10:F30" si="0">E10-$D$5</f>
        <v>-1</v>
      </c>
      <c r="G10" s="27" t="s">
        <v>9</v>
      </c>
      <c r="H10" s="24" t="s">
        <v>17</v>
      </c>
      <c r="J10" s="3">
        <f t="shared" ref="J10:J11" si="1">A10</f>
        <v>1</v>
      </c>
      <c r="K10" s="35">
        <v>25</v>
      </c>
      <c r="L10" s="35">
        <f>E10</f>
        <v>24</v>
      </c>
      <c r="M10" s="35">
        <v>23</v>
      </c>
      <c r="N10" s="35">
        <v>27</v>
      </c>
      <c r="O10" s="35">
        <v>21</v>
      </c>
      <c r="P10" s="35">
        <v>29</v>
      </c>
    </row>
    <row r="11" spans="1:16" ht="20.149999999999999" customHeight="1" x14ac:dyDescent="0.45">
      <c r="A11" s="22">
        <v>2</v>
      </c>
      <c r="B11" s="21">
        <v>44652</v>
      </c>
      <c r="C11" s="21" t="s">
        <v>65</v>
      </c>
      <c r="D11" s="22" t="s">
        <v>28</v>
      </c>
      <c r="E11" s="23">
        <v>24</v>
      </c>
      <c r="F11" s="23">
        <f t="shared" si="0"/>
        <v>-1</v>
      </c>
      <c r="G11" s="27" t="s">
        <v>9</v>
      </c>
      <c r="H11" s="24" t="s">
        <v>17</v>
      </c>
      <c r="J11" s="3">
        <f t="shared" si="1"/>
        <v>2</v>
      </c>
      <c r="K11" s="35">
        <v>25</v>
      </c>
      <c r="L11" s="35">
        <f t="shared" ref="L11:L30" si="2">E11</f>
        <v>24</v>
      </c>
      <c r="M11" s="35">
        <v>23</v>
      </c>
      <c r="N11" s="35">
        <v>27</v>
      </c>
      <c r="O11" s="35">
        <v>21</v>
      </c>
      <c r="P11" s="35">
        <v>29</v>
      </c>
    </row>
    <row r="12" spans="1:16" ht="20.149999999999999" customHeight="1" x14ac:dyDescent="0.45">
      <c r="A12" s="22">
        <v>3</v>
      </c>
      <c r="B12" s="21">
        <v>44653</v>
      </c>
      <c r="C12" s="21" t="s">
        <v>60</v>
      </c>
      <c r="D12" s="22" t="s">
        <v>27</v>
      </c>
      <c r="E12" s="23">
        <v>25</v>
      </c>
      <c r="F12" s="23">
        <f t="shared" si="0"/>
        <v>0</v>
      </c>
      <c r="G12" s="27" t="s">
        <v>9</v>
      </c>
      <c r="H12" s="24" t="s">
        <v>17</v>
      </c>
      <c r="J12" s="3">
        <f t="shared" ref="J12:J30" si="3">A12</f>
        <v>3</v>
      </c>
      <c r="K12" s="35">
        <v>25</v>
      </c>
      <c r="L12" s="35">
        <f t="shared" si="2"/>
        <v>25</v>
      </c>
      <c r="M12" s="35">
        <v>23</v>
      </c>
      <c r="N12" s="35">
        <v>27</v>
      </c>
      <c r="O12" s="35">
        <v>21</v>
      </c>
      <c r="P12" s="35">
        <v>29</v>
      </c>
    </row>
    <row r="13" spans="1:16" ht="20.149999999999999" customHeight="1" x14ac:dyDescent="0.45">
      <c r="A13" s="22">
        <v>4</v>
      </c>
      <c r="B13" s="21">
        <v>44653</v>
      </c>
      <c r="C13" s="21" t="s">
        <v>60</v>
      </c>
      <c r="D13" s="22" t="s">
        <v>28</v>
      </c>
      <c r="E13" s="23">
        <v>25</v>
      </c>
      <c r="F13" s="23">
        <f t="shared" si="0"/>
        <v>0</v>
      </c>
      <c r="G13" s="27" t="s">
        <v>9</v>
      </c>
      <c r="H13" s="24" t="s">
        <v>17</v>
      </c>
      <c r="J13" s="3">
        <f t="shared" si="3"/>
        <v>4</v>
      </c>
      <c r="K13" s="35">
        <v>25</v>
      </c>
      <c r="L13" s="35">
        <f t="shared" si="2"/>
        <v>25</v>
      </c>
      <c r="M13" s="35">
        <v>23</v>
      </c>
      <c r="N13" s="35">
        <v>27</v>
      </c>
      <c r="O13" s="35">
        <v>21</v>
      </c>
      <c r="P13" s="35">
        <v>29</v>
      </c>
    </row>
    <row r="14" spans="1:16" ht="20.149999999999999" customHeight="1" x14ac:dyDescent="0.45">
      <c r="A14" s="22">
        <v>5</v>
      </c>
      <c r="B14" s="21">
        <v>44655</v>
      </c>
      <c r="C14" s="21" t="s">
        <v>61</v>
      </c>
      <c r="D14" s="22" t="s">
        <v>27</v>
      </c>
      <c r="E14" s="23">
        <v>23</v>
      </c>
      <c r="F14" s="23">
        <f t="shared" si="0"/>
        <v>-2</v>
      </c>
      <c r="G14" s="27" t="s">
        <v>9</v>
      </c>
      <c r="H14" s="24" t="s">
        <v>17</v>
      </c>
      <c r="J14" s="3">
        <f t="shared" si="3"/>
        <v>5</v>
      </c>
      <c r="K14" s="35">
        <v>25</v>
      </c>
      <c r="L14" s="35">
        <f t="shared" si="2"/>
        <v>23</v>
      </c>
      <c r="M14" s="35">
        <v>23</v>
      </c>
      <c r="N14" s="35">
        <v>27</v>
      </c>
      <c r="O14" s="35">
        <v>21</v>
      </c>
      <c r="P14" s="35">
        <v>29</v>
      </c>
    </row>
    <row r="15" spans="1:16" ht="20.149999999999999" customHeight="1" x14ac:dyDescent="0.45">
      <c r="A15" s="22">
        <v>6</v>
      </c>
      <c r="B15" s="21">
        <v>44655</v>
      </c>
      <c r="C15" s="21" t="s">
        <v>52</v>
      </c>
      <c r="D15" s="22" t="s">
        <v>28</v>
      </c>
      <c r="E15" s="23">
        <v>23</v>
      </c>
      <c r="F15" s="23">
        <f t="shared" si="0"/>
        <v>-2</v>
      </c>
      <c r="G15" s="27" t="s">
        <v>9</v>
      </c>
      <c r="H15" s="24" t="s">
        <v>17</v>
      </c>
      <c r="J15" s="3">
        <f t="shared" si="3"/>
        <v>6</v>
      </c>
      <c r="K15" s="35">
        <v>25</v>
      </c>
      <c r="L15" s="35">
        <f t="shared" si="2"/>
        <v>23</v>
      </c>
      <c r="M15" s="35">
        <v>23</v>
      </c>
      <c r="N15" s="35">
        <v>27</v>
      </c>
      <c r="O15" s="35">
        <v>21</v>
      </c>
      <c r="P15" s="35">
        <v>29</v>
      </c>
    </row>
    <row r="16" spans="1:16" ht="20.149999999999999" customHeight="1" x14ac:dyDescent="0.45">
      <c r="A16" s="22">
        <v>7</v>
      </c>
      <c r="B16" s="21">
        <v>44656</v>
      </c>
      <c r="C16" s="21" t="s">
        <v>62</v>
      </c>
      <c r="D16" s="22" t="s">
        <v>27</v>
      </c>
      <c r="E16" s="23">
        <v>24</v>
      </c>
      <c r="F16" s="23">
        <f t="shared" si="0"/>
        <v>-1</v>
      </c>
      <c r="G16" s="27" t="s">
        <v>9</v>
      </c>
      <c r="H16" s="24" t="s">
        <v>17</v>
      </c>
      <c r="J16" s="3">
        <f t="shared" si="3"/>
        <v>7</v>
      </c>
      <c r="K16" s="35">
        <v>25</v>
      </c>
      <c r="L16" s="35">
        <f t="shared" si="2"/>
        <v>24</v>
      </c>
      <c r="M16" s="35">
        <v>23</v>
      </c>
      <c r="N16" s="35">
        <v>27</v>
      </c>
      <c r="O16" s="35">
        <v>21</v>
      </c>
      <c r="P16" s="35">
        <v>29</v>
      </c>
    </row>
    <row r="17" spans="1:16" ht="20.149999999999999" customHeight="1" x14ac:dyDescent="0.45">
      <c r="A17" s="22">
        <v>8</v>
      </c>
      <c r="B17" s="21">
        <v>44656</v>
      </c>
      <c r="C17" s="21" t="s">
        <v>62</v>
      </c>
      <c r="D17" s="22" t="s">
        <v>28</v>
      </c>
      <c r="E17" s="23">
        <v>24</v>
      </c>
      <c r="F17" s="23">
        <f t="shared" si="0"/>
        <v>-1</v>
      </c>
      <c r="G17" s="27" t="s">
        <v>9</v>
      </c>
      <c r="H17" s="24" t="s">
        <v>17</v>
      </c>
      <c r="J17" s="3">
        <f t="shared" si="3"/>
        <v>8</v>
      </c>
      <c r="K17" s="35">
        <v>25</v>
      </c>
      <c r="L17" s="35">
        <f t="shared" si="2"/>
        <v>24</v>
      </c>
      <c r="M17" s="35">
        <v>23</v>
      </c>
      <c r="N17" s="35">
        <v>27</v>
      </c>
      <c r="O17" s="35">
        <v>21</v>
      </c>
      <c r="P17" s="35">
        <v>29</v>
      </c>
    </row>
    <row r="18" spans="1:16" ht="20.149999999999999" customHeight="1" x14ac:dyDescent="0.45">
      <c r="A18" s="22">
        <v>9</v>
      </c>
      <c r="B18" s="21">
        <v>44657</v>
      </c>
      <c r="C18" s="21" t="s">
        <v>63</v>
      </c>
      <c r="D18" s="22" t="s">
        <v>27</v>
      </c>
      <c r="E18" s="23">
        <v>25</v>
      </c>
      <c r="F18" s="23">
        <f t="shared" si="0"/>
        <v>0</v>
      </c>
      <c r="G18" s="27" t="s">
        <v>9</v>
      </c>
      <c r="H18" s="24" t="s">
        <v>17</v>
      </c>
      <c r="J18" s="3">
        <f t="shared" si="3"/>
        <v>9</v>
      </c>
      <c r="K18" s="35">
        <v>25</v>
      </c>
      <c r="L18" s="35">
        <f t="shared" si="2"/>
        <v>25</v>
      </c>
      <c r="M18" s="35">
        <v>23</v>
      </c>
      <c r="N18" s="35">
        <v>27</v>
      </c>
      <c r="O18" s="35">
        <v>21</v>
      </c>
      <c r="P18" s="35">
        <v>29</v>
      </c>
    </row>
    <row r="19" spans="1:16" ht="20.149999999999999" customHeight="1" x14ac:dyDescent="0.45">
      <c r="A19" s="22">
        <v>10</v>
      </c>
      <c r="B19" s="21">
        <v>44657</v>
      </c>
      <c r="C19" s="21" t="s">
        <v>63</v>
      </c>
      <c r="D19" s="22" t="s">
        <v>28</v>
      </c>
      <c r="E19" s="23">
        <v>25</v>
      </c>
      <c r="F19" s="23">
        <f t="shared" si="0"/>
        <v>0</v>
      </c>
      <c r="G19" s="27" t="s">
        <v>9</v>
      </c>
      <c r="H19" s="24" t="s">
        <v>17</v>
      </c>
      <c r="J19" s="3">
        <f t="shared" si="3"/>
        <v>10</v>
      </c>
      <c r="K19" s="35">
        <v>25</v>
      </c>
      <c r="L19" s="35">
        <f t="shared" si="2"/>
        <v>25</v>
      </c>
      <c r="M19" s="35">
        <v>23</v>
      </c>
      <c r="N19" s="35">
        <v>27</v>
      </c>
      <c r="O19" s="35">
        <v>21</v>
      </c>
      <c r="P19" s="35">
        <v>29</v>
      </c>
    </row>
    <row r="20" spans="1:16" ht="19.5" customHeight="1" x14ac:dyDescent="0.45">
      <c r="A20" s="22">
        <v>11</v>
      </c>
      <c r="B20" s="21">
        <v>44658</v>
      </c>
      <c r="C20" s="21" t="s">
        <v>66</v>
      </c>
      <c r="D20" s="22" t="s">
        <v>27</v>
      </c>
      <c r="E20" s="23">
        <v>23</v>
      </c>
      <c r="F20" s="23">
        <f t="shared" si="0"/>
        <v>-2</v>
      </c>
      <c r="G20" s="27" t="s">
        <v>9</v>
      </c>
      <c r="H20" s="24" t="s">
        <v>17</v>
      </c>
      <c r="J20" s="3">
        <f t="shared" si="3"/>
        <v>11</v>
      </c>
      <c r="K20" s="35">
        <v>25</v>
      </c>
      <c r="L20" s="35">
        <f t="shared" si="2"/>
        <v>23</v>
      </c>
      <c r="M20" s="35">
        <v>23</v>
      </c>
      <c r="N20" s="35">
        <v>27</v>
      </c>
      <c r="O20" s="35">
        <v>21</v>
      </c>
      <c r="P20" s="35">
        <v>29</v>
      </c>
    </row>
    <row r="21" spans="1:16" ht="20.25" customHeight="1" x14ac:dyDescent="0.45">
      <c r="A21" s="22">
        <v>12</v>
      </c>
      <c r="B21" s="21">
        <v>44658</v>
      </c>
      <c r="C21" s="21" t="s">
        <v>66</v>
      </c>
      <c r="D21" s="22" t="s">
        <v>53</v>
      </c>
      <c r="E21" s="23">
        <v>23</v>
      </c>
      <c r="F21" s="23">
        <f>E21-$D$5</f>
        <v>-2</v>
      </c>
      <c r="G21" s="27" t="s">
        <v>9</v>
      </c>
      <c r="H21" s="24" t="s">
        <v>17</v>
      </c>
      <c r="J21" s="3">
        <f t="shared" si="3"/>
        <v>12</v>
      </c>
      <c r="K21" s="35">
        <v>25</v>
      </c>
      <c r="L21" s="35">
        <f t="shared" si="2"/>
        <v>23</v>
      </c>
      <c r="M21" s="35">
        <v>23</v>
      </c>
      <c r="N21" s="35">
        <v>27</v>
      </c>
      <c r="O21" s="35">
        <v>21</v>
      </c>
      <c r="P21" s="35">
        <v>29</v>
      </c>
    </row>
    <row r="22" spans="1:16" ht="20.149999999999999" customHeight="1" x14ac:dyDescent="0.45">
      <c r="A22" s="22">
        <v>13</v>
      </c>
      <c r="B22" s="21">
        <v>44659</v>
      </c>
      <c r="C22" s="21" t="s">
        <v>59</v>
      </c>
      <c r="D22" s="22" t="s">
        <v>27</v>
      </c>
      <c r="E22" s="23">
        <v>25</v>
      </c>
      <c r="F22" s="23">
        <f t="shared" si="0"/>
        <v>0</v>
      </c>
      <c r="G22" s="27" t="s">
        <v>9</v>
      </c>
      <c r="H22" s="24" t="s">
        <v>17</v>
      </c>
      <c r="J22" s="3">
        <f t="shared" si="3"/>
        <v>13</v>
      </c>
      <c r="K22" s="35">
        <v>25</v>
      </c>
      <c r="L22" s="35">
        <f t="shared" si="2"/>
        <v>25</v>
      </c>
      <c r="M22" s="35">
        <v>23</v>
      </c>
      <c r="N22" s="35">
        <v>27</v>
      </c>
      <c r="O22" s="35">
        <v>21</v>
      </c>
      <c r="P22" s="35">
        <v>29</v>
      </c>
    </row>
    <row r="23" spans="1:16" ht="20.149999999999999" customHeight="1" x14ac:dyDescent="0.45">
      <c r="A23" s="22">
        <v>14</v>
      </c>
      <c r="B23" s="21">
        <v>44659</v>
      </c>
      <c r="C23" s="21" t="s">
        <v>59</v>
      </c>
      <c r="D23" s="22" t="s">
        <v>28</v>
      </c>
      <c r="E23" s="23">
        <v>25</v>
      </c>
      <c r="F23" s="23">
        <f t="shared" si="0"/>
        <v>0</v>
      </c>
      <c r="G23" s="27" t="s">
        <v>9</v>
      </c>
      <c r="H23" s="24" t="s">
        <v>17</v>
      </c>
      <c r="J23" s="3">
        <f t="shared" si="3"/>
        <v>14</v>
      </c>
      <c r="K23" s="35">
        <v>25</v>
      </c>
      <c r="L23" s="35">
        <f t="shared" si="2"/>
        <v>25</v>
      </c>
      <c r="M23" s="35">
        <v>23</v>
      </c>
      <c r="N23" s="35">
        <v>27</v>
      </c>
      <c r="O23" s="35">
        <v>21</v>
      </c>
      <c r="P23" s="35">
        <v>29</v>
      </c>
    </row>
    <row r="24" spans="1:16" ht="20.149999999999999" customHeight="1" x14ac:dyDescent="0.45">
      <c r="A24" s="22">
        <v>15</v>
      </c>
      <c r="B24" s="21">
        <v>44660</v>
      </c>
      <c r="C24" s="21" t="s">
        <v>60</v>
      </c>
      <c r="D24" s="22" t="s">
        <v>27</v>
      </c>
      <c r="E24" s="23">
        <v>24</v>
      </c>
      <c r="F24" s="23">
        <f t="shared" si="0"/>
        <v>-1</v>
      </c>
      <c r="G24" s="27" t="s">
        <v>9</v>
      </c>
      <c r="H24" s="24" t="s">
        <v>17</v>
      </c>
      <c r="J24" s="3">
        <f t="shared" si="3"/>
        <v>15</v>
      </c>
      <c r="K24" s="35">
        <v>25</v>
      </c>
      <c r="L24" s="35">
        <f t="shared" si="2"/>
        <v>24</v>
      </c>
      <c r="M24" s="35">
        <v>23</v>
      </c>
      <c r="N24" s="35">
        <v>27</v>
      </c>
      <c r="O24" s="35">
        <v>21</v>
      </c>
      <c r="P24" s="35">
        <v>29</v>
      </c>
    </row>
    <row r="25" spans="1:16" ht="20.149999999999999" customHeight="1" x14ac:dyDescent="0.45">
      <c r="A25" s="22">
        <v>16</v>
      </c>
      <c r="B25" s="21">
        <v>44660</v>
      </c>
      <c r="C25" s="21" t="s">
        <v>60</v>
      </c>
      <c r="D25" s="22" t="s">
        <v>28</v>
      </c>
      <c r="E25" s="23">
        <v>24</v>
      </c>
      <c r="F25" s="23">
        <f t="shared" si="0"/>
        <v>-1</v>
      </c>
      <c r="G25" s="27" t="s">
        <v>9</v>
      </c>
      <c r="H25" s="24" t="s">
        <v>17</v>
      </c>
      <c r="J25" s="3">
        <f t="shared" si="3"/>
        <v>16</v>
      </c>
      <c r="K25" s="35">
        <v>25</v>
      </c>
      <c r="L25" s="35">
        <f t="shared" si="2"/>
        <v>24</v>
      </c>
      <c r="M25" s="35">
        <v>23</v>
      </c>
      <c r="N25" s="35">
        <v>27</v>
      </c>
      <c r="O25" s="35">
        <v>21</v>
      </c>
      <c r="P25" s="35">
        <v>29</v>
      </c>
    </row>
    <row r="26" spans="1:16" ht="20.149999999999999" customHeight="1" x14ac:dyDescent="0.45">
      <c r="A26" s="22">
        <v>17</v>
      </c>
      <c r="B26" s="21">
        <v>44662</v>
      </c>
      <c r="C26" s="21" t="s">
        <v>61</v>
      </c>
      <c r="D26" s="22" t="s">
        <v>27</v>
      </c>
      <c r="E26" s="23">
        <v>24</v>
      </c>
      <c r="F26" s="23">
        <f t="shared" si="0"/>
        <v>-1</v>
      </c>
      <c r="G26" s="27" t="s">
        <v>9</v>
      </c>
      <c r="H26" s="24" t="s">
        <v>17</v>
      </c>
      <c r="J26" s="3">
        <f t="shared" si="3"/>
        <v>17</v>
      </c>
      <c r="K26" s="35">
        <v>25</v>
      </c>
      <c r="L26" s="35">
        <f t="shared" si="2"/>
        <v>24</v>
      </c>
      <c r="M26" s="35">
        <v>23</v>
      </c>
      <c r="N26" s="35">
        <v>27</v>
      </c>
      <c r="O26" s="35">
        <v>21</v>
      </c>
      <c r="P26" s="35">
        <v>29</v>
      </c>
    </row>
    <row r="27" spans="1:16" ht="20.149999999999999" customHeight="1" x14ac:dyDescent="0.45">
      <c r="A27" s="22">
        <v>18</v>
      </c>
      <c r="B27" s="21">
        <v>44662</v>
      </c>
      <c r="C27" s="21" t="s">
        <v>61</v>
      </c>
      <c r="D27" s="22" t="s">
        <v>28</v>
      </c>
      <c r="E27" s="23">
        <v>24</v>
      </c>
      <c r="F27" s="23">
        <f t="shared" si="0"/>
        <v>-1</v>
      </c>
      <c r="G27" s="27" t="s">
        <v>9</v>
      </c>
      <c r="H27" s="24" t="s">
        <v>17</v>
      </c>
      <c r="J27" s="3">
        <f t="shared" si="3"/>
        <v>18</v>
      </c>
      <c r="K27" s="35">
        <v>25</v>
      </c>
      <c r="L27" s="35">
        <f t="shared" si="2"/>
        <v>24</v>
      </c>
      <c r="M27" s="35">
        <v>23</v>
      </c>
      <c r="N27" s="35">
        <v>27</v>
      </c>
      <c r="O27" s="35">
        <v>21</v>
      </c>
      <c r="P27" s="35">
        <v>29</v>
      </c>
    </row>
    <row r="28" spans="1:16" ht="20.149999999999999" customHeight="1" x14ac:dyDescent="0.45">
      <c r="A28" s="22">
        <v>19</v>
      </c>
      <c r="B28" s="21">
        <v>44663</v>
      </c>
      <c r="C28" s="21" t="s">
        <v>62</v>
      </c>
      <c r="D28" s="22" t="s">
        <v>27</v>
      </c>
      <c r="E28" s="23">
        <v>24</v>
      </c>
      <c r="F28" s="23">
        <f t="shared" si="0"/>
        <v>-1</v>
      </c>
      <c r="G28" s="27" t="s">
        <v>9</v>
      </c>
      <c r="H28" s="24" t="s">
        <v>17</v>
      </c>
      <c r="J28" s="3">
        <f t="shared" si="3"/>
        <v>19</v>
      </c>
      <c r="K28" s="35">
        <v>25</v>
      </c>
      <c r="L28" s="35">
        <f t="shared" si="2"/>
        <v>24</v>
      </c>
      <c r="M28" s="35">
        <v>23</v>
      </c>
      <c r="N28" s="35">
        <v>27</v>
      </c>
      <c r="O28" s="35">
        <v>21</v>
      </c>
      <c r="P28" s="35">
        <v>29</v>
      </c>
    </row>
    <row r="29" spans="1:16" ht="20.149999999999999" customHeight="1" x14ac:dyDescent="0.45">
      <c r="A29" s="22">
        <v>20</v>
      </c>
      <c r="B29" s="21">
        <v>44663</v>
      </c>
      <c r="C29" s="21" t="s">
        <v>62</v>
      </c>
      <c r="D29" s="22" t="s">
        <v>28</v>
      </c>
      <c r="E29" s="23">
        <v>24</v>
      </c>
      <c r="F29" s="23">
        <f t="shared" si="0"/>
        <v>-1</v>
      </c>
      <c r="G29" s="27" t="s">
        <v>9</v>
      </c>
      <c r="H29" s="24" t="s">
        <v>17</v>
      </c>
      <c r="J29" s="3">
        <f t="shared" si="3"/>
        <v>20</v>
      </c>
      <c r="K29" s="35">
        <v>25</v>
      </c>
      <c r="L29" s="35">
        <f t="shared" si="2"/>
        <v>24</v>
      </c>
      <c r="M29" s="35">
        <v>23</v>
      </c>
      <c r="N29" s="35">
        <v>27</v>
      </c>
      <c r="O29" s="35">
        <v>21</v>
      </c>
      <c r="P29" s="35">
        <v>29</v>
      </c>
    </row>
    <row r="30" spans="1:16" ht="20.149999999999999" customHeight="1" x14ac:dyDescent="0.45">
      <c r="A30" s="22">
        <v>21</v>
      </c>
      <c r="B30" s="21">
        <v>44664</v>
      </c>
      <c r="C30" s="21" t="s">
        <v>63</v>
      </c>
      <c r="D30" s="22" t="s">
        <v>27</v>
      </c>
      <c r="E30" s="23">
        <v>25</v>
      </c>
      <c r="F30" s="23">
        <f t="shared" si="0"/>
        <v>0</v>
      </c>
      <c r="G30" s="27" t="s">
        <v>9</v>
      </c>
      <c r="H30" s="24" t="s">
        <v>17</v>
      </c>
      <c r="J30" s="3">
        <f t="shared" si="3"/>
        <v>21</v>
      </c>
      <c r="K30" s="35">
        <v>25</v>
      </c>
      <c r="L30" s="35">
        <f t="shared" si="2"/>
        <v>25</v>
      </c>
      <c r="M30" s="35">
        <v>23</v>
      </c>
      <c r="N30" s="35">
        <v>27</v>
      </c>
      <c r="O30" s="35">
        <v>21</v>
      </c>
      <c r="P30" s="35">
        <v>29</v>
      </c>
    </row>
    <row r="31" spans="1:16" s="34" customFormat="1" ht="20.149999999999999" customHeight="1" x14ac:dyDescent="0.45">
      <c r="A31" s="22">
        <v>22</v>
      </c>
      <c r="B31" s="21">
        <v>44664</v>
      </c>
      <c r="C31" s="21" t="s">
        <v>63</v>
      </c>
      <c r="D31" s="22" t="s">
        <v>28</v>
      </c>
      <c r="E31" s="23">
        <v>25</v>
      </c>
      <c r="F31" s="23">
        <f t="shared" ref="F31:F35" si="4">E31-$D$5</f>
        <v>0</v>
      </c>
      <c r="G31" s="27" t="s">
        <v>9</v>
      </c>
      <c r="H31" s="24" t="s">
        <v>17</v>
      </c>
      <c r="J31" s="34">
        <f t="shared" ref="J31:J35" si="5">A31</f>
        <v>22</v>
      </c>
      <c r="K31" s="35">
        <v>25</v>
      </c>
      <c r="L31" s="35">
        <f t="shared" ref="L31:L35" si="6">E31</f>
        <v>25</v>
      </c>
      <c r="M31" s="35">
        <v>23</v>
      </c>
      <c r="N31" s="35">
        <v>27</v>
      </c>
      <c r="O31" s="35">
        <v>21</v>
      </c>
      <c r="P31" s="35">
        <v>29</v>
      </c>
    </row>
    <row r="32" spans="1:16" s="34" customFormat="1" ht="20.149999999999999" customHeight="1" x14ac:dyDescent="0.45">
      <c r="A32" s="22">
        <v>23</v>
      </c>
      <c r="B32" s="21">
        <v>44665</v>
      </c>
      <c r="C32" s="21" t="s">
        <v>64</v>
      </c>
      <c r="D32" s="22" t="s">
        <v>27</v>
      </c>
      <c r="E32" s="23">
        <v>26</v>
      </c>
      <c r="F32" s="23">
        <f t="shared" si="4"/>
        <v>1</v>
      </c>
      <c r="G32" s="27" t="s">
        <v>9</v>
      </c>
      <c r="H32" s="24" t="s">
        <v>17</v>
      </c>
      <c r="J32" s="34">
        <f t="shared" si="5"/>
        <v>23</v>
      </c>
      <c r="K32" s="35">
        <v>25</v>
      </c>
      <c r="L32" s="35">
        <f t="shared" si="6"/>
        <v>26</v>
      </c>
      <c r="M32" s="35">
        <v>23</v>
      </c>
      <c r="N32" s="35">
        <v>27</v>
      </c>
      <c r="O32" s="35">
        <v>21</v>
      </c>
      <c r="P32" s="35">
        <v>29</v>
      </c>
    </row>
    <row r="33" spans="1:16" s="34" customFormat="1" ht="20.149999999999999" customHeight="1" x14ac:dyDescent="0.45">
      <c r="A33" s="22">
        <v>24</v>
      </c>
      <c r="B33" s="21">
        <v>44665</v>
      </c>
      <c r="C33" s="21" t="s">
        <v>64</v>
      </c>
      <c r="D33" s="22" t="s">
        <v>28</v>
      </c>
      <c r="E33" s="23">
        <v>26</v>
      </c>
      <c r="F33" s="23">
        <f t="shared" si="4"/>
        <v>1</v>
      </c>
      <c r="G33" s="27" t="s">
        <v>9</v>
      </c>
      <c r="H33" s="24" t="s">
        <v>17</v>
      </c>
      <c r="J33" s="34">
        <f t="shared" si="5"/>
        <v>24</v>
      </c>
      <c r="K33" s="35">
        <v>25</v>
      </c>
      <c r="L33" s="35">
        <f t="shared" si="6"/>
        <v>26</v>
      </c>
      <c r="M33" s="35">
        <v>23</v>
      </c>
      <c r="N33" s="35">
        <v>27</v>
      </c>
      <c r="O33" s="35">
        <v>21</v>
      </c>
      <c r="P33" s="35">
        <v>29</v>
      </c>
    </row>
    <row r="34" spans="1:16" s="34" customFormat="1" ht="20.149999999999999" customHeight="1" x14ac:dyDescent="0.45">
      <c r="A34" s="22">
        <v>25</v>
      </c>
      <c r="B34" s="21">
        <v>44666</v>
      </c>
      <c r="C34" s="21" t="s">
        <v>59</v>
      </c>
      <c r="D34" s="22" t="s">
        <v>27</v>
      </c>
      <c r="E34" s="23">
        <v>25</v>
      </c>
      <c r="F34" s="23">
        <f t="shared" si="4"/>
        <v>0</v>
      </c>
      <c r="G34" s="27" t="s">
        <v>9</v>
      </c>
      <c r="H34" s="24" t="s">
        <v>17</v>
      </c>
      <c r="J34" s="34">
        <f t="shared" si="5"/>
        <v>25</v>
      </c>
      <c r="K34" s="35">
        <v>25</v>
      </c>
      <c r="L34" s="35">
        <f t="shared" si="6"/>
        <v>25</v>
      </c>
      <c r="M34" s="35">
        <v>23</v>
      </c>
      <c r="N34" s="35">
        <v>27</v>
      </c>
      <c r="O34" s="35">
        <v>21</v>
      </c>
      <c r="P34" s="35">
        <v>29</v>
      </c>
    </row>
    <row r="35" spans="1:16" s="36" customFormat="1" ht="20.149999999999999" customHeight="1" x14ac:dyDescent="0.45">
      <c r="A35" s="22">
        <v>26</v>
      </c>
      <c r="B35" s="21">
        <v>44666</v>
      </c>
      <c r="C35" s="21" t="s">
        <v>59</v>
      </c>
      <c r="D35" s="22" t="s">
        <v>28</v>
      </c>
      <c r="E35" s="23">
        <v>25</v>
      </c>
      <c r="F35" s="23">
        <f t="shared" si="4"/>
        <v>0</v>
      </c>
      <c r="G35" s="27" t="s">
        <v>9</v>
      </c>
      <c r="H35" s="24" t="s">
        <v>17</v>
      </c>
      <c r="J35" s="34">
        <f t="shared" si="5"/>
        <v>26</v>
      </c>
      <c r="K35" s="35">
        <v>25</v>
      </c>
      <c r="L35" s="35">
        <f t="shared" si="6"/>
        <v>25</v>
      </c>
      <c r="M35" s="35">
        <v>23</v>
      </c>
      <c r="N35" s="35">
        <v>27</v>
      </c>
      <c r="O35" s="35">
        <v>21</v>
      </c>
      <c r="P35" s="35">
        <v>29</v>
      </c>
    </row>
    <row r="36" spans="1:16" s="34" customFormat="1" ht="20.149999999999999" customHeight="1" x14ac:dyDescent="0.45">
      <c r="A36" s="21" t="s">
        <v>54</v>
      </c>
      <c r="B36" s="47">
        <f>AVERAGE(E10:E35)</f>
        <v>24.384615384615383</v>
      </c>
      <c r="C36" s="21" t="s">
        <v>55</v>
      </c>
      <c r="D36" s="48">
        <v>25</v>
      </c>
      <c r="E36" s="23" t="s">
        <v>56</v>
      </c>
      <c r="F36" s="48">
        <v>23</v>
      </c>
      <c r="G36" s="48"/>
      <c r="H36" s="24" t="s">
        <v>17</v>
      </c>
      <c r="K36" s="35"/>
      <c r="L36" s="35"/>
      <c r="M36" s="35"/>
      <c r="N36" s="35"/>
      <c r="O36" s="35"/>
      <c r="P36" s="35"/>
    </row>
    <row r="37" spans="1:16" ht="36.75" customHeight="1" x14ac:dyDescent="0.45">
      <c r="A37" s="29" t="s">
        <v>10</v>
      </c>
      <c r="B37" s="30"/>
      <c r="C37" s="30"/>
      <c r="D37" s="31"/>
      <c r="E37" s="31"/>
      <c r="F37" s="31"/>
      <c r="G37" s="31"/>
      <c r="H37" s="31"/>
    </row>
    <row r="38" spans="1:16" ht="20.149999999999999" customHeight="1" x14ac:dyDescent="0.45">
      <c r="A38" s="30"/>
      <c r="B38" s="30"/>
      <c r="C38" s="30"/>
      <c r="D38" s="49" t="s">
        <v>1</v>
      </c>
      <c r="E38" s="30"/>
      <c r="F38" s="30"/>
      <c r="G38" s="49" t="s">
        <v>2</v>
      </c>
      <c r="H38" s="49" t="s">
        <v>3</v>
      </c>
    </row>
    <row r="39" spans="1:16" ht="23.25" customHeight="1" x14ac:dyDescent="0.45"/>
    <row r="40" spans="1:16" x14ac:dyDescent="0.45">
      <c r="A40" s="18" t="s">
        <v>16</v>
      </c>
      <c r="E40" s="19"/>
      <c r="F40" s="19"/>
    </row>
    <row r="41" spans="1:16" x14ac:dyDescent="0.45">
      <c r="D41" s="20" t="s">
        <v>1</v>
      </c>
      <c r="G41" s="20" t="s">
        <v>2</v>
      </c>
      <c r="H41" s="20" t="s">
        <v>3</v>
      </c>
    </row>
    <row r="43" spans="1:16" x14ac:dyDescent="0.45">
      <c r="A43" s="18" t="s">
        <v>20</v>
      </c>
      <c r="D43" s="19"/>
      <c r="E43" s="19"/>
      <c r="F43" s="19"/>
      <c r="G43" s="19"/>
      <c r="H43" s="19"/>
    </row>
    <row r="44" spans="1:16" ht="37.5" customHeight="1" x14ac:dyDescent="0.45">
      <c r="D44" s="19"/>
      <c r="E44" s="19"/>
      <c r="F44" s="19"/>
      <c r="G44" s="19"/>
      <c r="H44" s="19"/>
    </row>
    <row r="45" spans="1:16" ht="36.75" customHeight="1" x14ac:dyDescent="0.45">
      <c r="D45" s="19"/>
      <c r="E45" s="19"/>
      <c r="F45" s="19"/>
    </row>
    <row r="46" spans="1:16" ht="24" customHeight="1" x14ac:dyDescent="0.45">
      <c r="G46" s="20" t="s">
        <v>2</v>
      </c>
      <c r="H46" s="20" t="s">
        <v>3</v>
      </c>
    </row>
    <row r="48" spans="1:16" ht="2.25" customHeight="1" thickBot="1" x14ac:dyDescent="0.5"/>
    <row r="49" spans="1:8" s="41" customFormat="1" ht="15" hidden="1" thickBot="1" x14ac:dyDescent="0.4"/>
    <row r="50" spans="1:8" s="41" customFormat="1" x14ac:dyDescent="0.35">
      <c r="A50" s="42" t="s">
        <v>47</v>
      </c>
      <c r="B50" s="43" t="s">
        <v>48</v>
      </c>
      <c r="C50" s="43"/>
      <c r="D50" s="44" t="s">
        <v>49</v>
      </c>
      <c r="E50" s="43">
        <v>0</v>
      </c>
      <c r="F50" s="44" t="s">
        <v>50</v>
      </c>
      <c r="G50" s="45">
        <v>43836</v>
      </c>
      <c r="H50" s="46" t="s">
        <v>0</v>
      </c>
    </row>
  </sheetData>
  <mergeCells count="1">
    <mergeCell ref="D1:F1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view="pageBreakPreview" zoomScaleNormal="100" zoomScaleSheetLayoutView="100" workbookViewId="0">
      <selection activeCell="E8" sqref="E8"/>
    </sheetView>
  </sheetViews>
  <sheetFormatPr defaultColWidth="9.1796875" defaultRowHeight="16" x14ac:dyDescent="0.45"/>
  <cols>
    <col min="1" max="1" width="17.54296875" style="3" customWidth="1"/>
    <col min="2" max="2" width="15.81640625" style="34" customWidth="1"/>
    <col min="3" max="3" width="15.54296875" style="34" customWidth="1"/>
    <col min="4" max="4" width="15.7265625" style="3" customWidth="1"/>
    <col min="5" max="5" width="15.26953125" style="3" customWidth="1"/>
    <col min="6" max="6" width="16.26953125" style="3" customWidth="1"/>
    <col min="7" max="7" width="16.1796875" style="3" customWidth="1"/>
    <col min="8" max="8" width="20.1796875" style="3" customWidth="1"/>
    <col min="9" max="9" width="16.1796875" style="3" customWidth="1"/>
    <col min="10" max="16384" width="9.1796875" style="3"/>
  </cols>
  <sheetData>
    <row r="1" spans="1:16" s="41" customFormat="1" ht="21" customHeight="1" x14ac:dyDescent="0.45">
      <c r="A1" s="37"/>
      <c r="B1" s="38"/>
      <c r="C1" s="53"/>
      <c r="D1" s="54" t="s">
        <v>4</v>
      </c>
      <c r="E1" s="54"/>
      <c r="F1" s="54"/>
      <c r="G1" s="39"/>
      <c r="H1" s="40"/>
    </row>
    <row r="2" spans="1:16" x14ac:dyDescent="0.45">
      <c r="A2" s="6"/>
      <c r="B2" s="5"/>
      <c r="C2" s="5"/>
    </row>
    <row r="3" spans="1:16" ht="19.5" customHeight="1" x14ac:dyDescent="0.45">
      <c r="A3" s="7" t="s">
        <v>5</v>
      </c>
      <c r="B3" s="2"/>
      <c r="C3" s="4"/>
      <c r="D3" s="4" t="s">
        <v>30</v>
      </c>
      <c r="E3" s="2"/>
      <c r="F3" s="7" t="s">
        <v>22</v>
      </c>
      <c r="G3" s="8" t="s">
        <v>67</v>
      </c>
      <c r="H3" s="9"/>
    </row>
    <row r="4" spans="1:16" ht="21.75" customHeight="1" x14ac:dyDescent="0.45">
      <c r="A4" s="7" t="s">
        <v>18</v>
      </c>
      <c r="B4" s="2"/>
      <c r="C4" s="4"/>
      <c r="D4" s="4" t="s">
        <v>21</v>
      </c>
      <c r="E4" s="11"/>
      <c r="F4" s="12" t="s">
        <v>19</v>
      </c>
      <c r="G4" s="10" t="s">
        <v>24</v>
      </c>
      <c r="H4" s="9"/>
    </row>
    <row r="5" spans="1:16" ht="16.5" x14ac:dyDescent="0.45">
      <c r="A5" s="7" t="s">
        <v>31</v>
      </c>
      <c r="B5" s="2"/>
      <c r="C5" s="4"/>
      <c r="D5" s="28">
        <v>25</v>
      </c>
      <c r="E5" s="13"/>
      <c r="F5" s="12" t="s">
        <v>23</v>
      </c>
      <c r="G5" s="14" t="s">
        <v>40</v>
      </c>
      <c r="H5" s="13"/>
    </row>
    <row r="6" spans="1:16" ht="16.5" x14ac:dyDescent="0.45">
      <c r="A6" s="7" t="s">
        <v>32</v>
      </c>
      <c r="B6" s="2"/>
      <c r="C6" s="4"/>
      <c r="D6" s="28">
        <v>23</v>
      </c>
      <c r="E6" s="15"/>
      <c r="F6" s="12" t="s">
        <v>6</v>
      </c>
      <c r="G6" s="14" t="s">
        <v>33</v>
      </c>
      <c r="H6" s="15"/>
    </row>
    <row r="7" spans="1:16" ht="16.5" x14ac:dyDescent="0.45">
      <c r="A7" s="7" t="s">
        <v>34</v>
      </c>
      <c r="B7" s="2"/>
      <c r="C7" s="4"/>
      <c r="D7" s="28">
        <v>21</v>
      </c>
      <c r="E7" s="15"/>
      <c r="F7" s="12" t="s">
        <v>7</v>
      </c>
      <c r="G7" s="14" t="s">
        <v>35</v>
      </c>
      <c r="H7" s="15"/>
    </row>
    <row r="8" spans="1:16" ht="339.75" customHeight="1" x14ac:dyDescent="0.45">
      <c r="D8" s="16"/>
      <c r="F8" s="16"/>
    </row>
    <row r="9" spans="1:16" ht="46.5" customHeight="1" x14ac:dyDescent="0.45">
      <c r="A9" s="1" t="s">
        <v>29</v>
      </c>
      <c r="B9" s="1" t="s">
        <v>3</v>
      </c>
      <c r="C9" s="1" t="s">
        <v>51</v>
      </c>
      <c r="D9" s="1" t="s">
        <v>26</v>
      </c>
      <c r="E9" s="1" t="s">
        <v>36</v>
      </c>
      <c r="F9" s="1" t="s">
        <v>37</v>
      </c>
      <c r="G9" s="1" t="s">
        <v>8</v>
      </c>
      <c r="H9" s="1" t="s">
        <v>25</v>
      </c>
      <c r="J9" s="25" t="s">
        <v>15</v>
      </c>
      <c r="K9" s="26" t="s">
        <v>38</v>
      </c>
      <c r="L9" s="26" t="s">
        <v>39</v>
      </c>
      <c r="M9" s="26" t="s">
        <v>11</v>
      </c>
      <c r="N9" s="26" t="s">
        <v>12</v>
      </c>
      <c r="O9" s="26" t="s">
        <v>13</v>
      </c>
      <c r="P9" s="26" t="s">
        <v>14</v>
      </c>
    </row>
    <row r="10" spans="1:16" ht="20.149999999999999" customHeight="1" x14ac:dyDescent="0.45">
      <c r="A10" s="22">
        <v>1</v>
      </c>
      <c r="B10" s="21">
        <v>44652</v>
      </c>
      <c r="C10" s="21" t="s">
        <v>65</v>
      </c>
      <c r="D10" s="22" t="s">
        <v>27</v>
      </c>
      <c r="E10" s="23">
        <v>24</v>
      </c>
      <c r="F10" s="23">
        <f t="shared" ref="F10:F35" si="0">E10-$D$5</f>
        <v>-1</v>
      </c>
      <c r="G10" s="27" t="s">
        <v>9</v>
      </c>
      <c r="H10" s="24" t="s">
        <v>17</v>
      </c>
      <c r="J10" s="3">
        <f t="shared" ref="J10:J35" si="1">A10</f>
        <v>1</v>
      </c>
      <c r="K10" s="35">
        <v>25</v>
      </c>
      <c r="L10" s="35">
        <f>E10</f>
        <v>24</v>
      </c>
      <c r="M10" s="35">
        <v>23</v>
      </c>
      <c r="N10" s="35">
        <v>27</v>
      </c>
      <c r="O10" s="35">
        <v>21</v>
      </c>
      <c r="P10" s="35">
        <v>29</v>
      </c>
    </row>
    <row r="11" spans="1:16" ht="20.149999999999999" customHeight="1" x14ac:dyDescent="0.45">
      <c r="A11" s="22">
        <v>2</v>
      </c>
      <c r="B11" s="21">
        <v>44652</v>
      </c>
      <c r="C11" s="21" t="s">
        <v>65</v>
      </c>
      <c r="D11" s="22" t="s">
        <v>28</v>
      </c>
      <c r="E11" s="23">
        <v>24</v>
      </c>
      <c r="F11" s="23">
        <f t="shared" si="0"/>
        <v>-1</v>
      </c>
      <c r="G11" s="27" t="s">
        <v>9</v>
      </c>
      <c r="H11" s="24" t="s">
        <v>17</v>
      </c>
      <c r="J11" s="3">
        <f t="shared" si="1"/>
        <v>2</v>
      </c>
      <c r="K11" s="35">
        <v>25</v>
      </c>
      <c r="L11" s="35">
        <f>E11</f>
        <v>24</v>
      </c>
      <c r="M11" s="35">
        <v>23</v>
      </c>
      <c r="N11" s="35">
        <v>27</v>
      </c>
      <c r="O11" s="35">
        <v>21</v>
      </c>
      <c r="P11" s="35">
        <v>29</v>
      </c>
    </row>
    <row r="12" spans="1:16" ht="20.149999999999999" customHeight="1" x14ac:dyDescent="0.45">
      <c r="A12" s="22">
        <v>3</v>
      </c>
      <c r="B12" s="21">
        <v>44653</v>
      </c>
      <c r="C12" s="21" t="s">
        <v>60</v>
      </c>
      <c r="D12" s="22" t="s">
        <v>27</v>
      </c>
      <c r="E12" s="23">
        <v>23</v>
      </c>
      <c r="F12" s="23">
        <f t="shared" si="0"/>
        <v>-2</v>
      </c>
      <c r="G12" s="27" t="s">
        <v>9</v>
      </c>
      <c r="H12" s="24" t="s">
        <v>17</v>
      </c>
      <c r="J12" s="3">
        <f t="shared" si="1"/>
        <v>3</v>
      </c>
      <c r="K12" s="35">
        <v>25</v>
      </c>
      <c r="L12" s="35">
        <f t="shared" ref="L12:L35" si="2">E12</f>
        <v>23</v>
      </c>
      <c r="M12" s="35">
        <v>23</v>
      </c>
      <c r="N12" s="35">
        <v>27</v>
      </c>
      <c r="O12" s="35">
        <v>21</v>
      </c>
      <c r="P12" s="35">
        <v>29</v>
      </c>
    </row>
    <row r="13" spans="1:16" ht="20.149999999999999" customHeight="1" x14ac:dyDescent="0.45">
      <c r="A13" s="22">
        <v>4</v>
      </c>
      <c r="B13" s="21">
        <v>44653</v>
      </c>
      <c r="C13" s="21" t="s">
        <v>60</v>
      </c>
      <c r="D13" s="22" t="s">
        <v>28</v>
      </c>
      <c r="E13" s="23">
        <v>23</v>
      </c>
      <c r="F13" s="23">
        <f t="shared" si="0"/>
        <v>-2</v>
      </c>
      <c r="G13" s="27" t="s">
        <v>9</v>
      </c>
      <c r="H13" s="24" t="s">
        <v>17</v>
      </c>
      <c r="J13" s="3">
        <f t="shared" si="1"/>
        <v>4</v>
      </c>
      <c r="K13" s="35">
        <v>25</v>
      </c>
      <c r="L13" s="35">
        <f t="shared" si="2"/>
        <v>23</v>
      </c>
      <c r="M13" s="35">
        <v>23</v>
      </c>
      <c r="N13" s="35">
        <v>27</v>
      </c>
      <c r="O13" s="35">
        <v>21</v>
      </c>
      <c r="P13" s="35">
        <v>29</v>
      </c>
    </row>
    <row r="14" spans="1:16" ht="20.149999999999999" customHeight="1" x14ac:dyDescent="0.45">
      <c r="A14" s="22">
        <v>5</v>
      </c>
      <c r="B14" s="21">
        <v>44655</v>
      </c>
      <c r="C14" s="21" t="s">
        <v>61</v>
      </c>
      <c r="D14" s="22" t="s">
        <v>27</v>
      </c>
      <c r="E14" s="23">
        <v>25</v>
      </c>
      <c r="F14" s="23">
        <f t="shared" si="0"/>
        <v>0</v>
      </c>
      <c r="G14" s="27" t="s">
        <v>9</v>
      </c>
      <c r="H14" s="24" t="s">
        <v>17</v>
      </c>
      <c r="J14" s="3">
        <f t="shared" si="1"/>
        <v>5</v>
      </c>
      <c r="K14" s="35">
        <v>25</v>
      </c>
      <c r="L14" s="35">
        <f t="shared" si="2"/>
        <v>25</v>
      </c>
      <c r="M14" s="35">
        <v>23</v>
      </c>
      <c r="N14" s="35">
        <v>27</v>
      </c>
      <c r="O14" s="35">
        <v>21</v>
      </c>
      <c r="P14" s="35">
        <v>29</v>
      </c>
    </row>
    <row r="15" spans="1:16" ht="20.149999999999999" customHeight="1" x14ac:dyDescent="0.45">
      <c r="A15" s="22">
        <v>6</v>
      </c>
      <c r="B15" s="21">
        <v>44655</v>
      </c>
      <c r="C15" s="21" t="s">
        <v>52</v>
      </c>
      <c r="D15" s="22" t="s">
        <v>28</v>
      </c>
      <c r="E15" s="23">
        <v>25</v>
      </c>
      <c r="F15" s="23">
        <f t="shared" si="0"/>
        <v>0</v>
      </c>
      <c r="G15" s="27" t="s">
        <v>9</v>
      </c>
      <c r="H15" s="24" t="s">
        <v>17</v>
      </c>
      <c r="J15" s="3">
        <f t="shared" si="1"/>
        <v>6</v>
      </c>
      <c r="K15" s="35">
        <v>25</v>
      </c>
      <c r="L15" s="35">
        <f t="shared" si="2"/>
        <v>25</v>
      </c>
      <c r="M15" s="35">
        <v>23</v>
      </c>
      <c r="N15" s="35">
        <v>27</v>
      </c>
      <c r="O15" s="35">
        <v>21</v>
      </c>
      <c r="P15" s="35">
        <v>29</v>
      </c>
    </row>
    <row r="16" spans="1:16" ht="20.149999999999999" customHeight="1" x14ac:dyDescent="0.45">
      <c r="A16" s="22">
        <v>7</v>
      </c>
      <c r="B16" s="21">
        <v>44656</v>
      </c>
      <c r="C16" s="21" t="s">
        <v>62</v>
      </c>
      <c r="D16" s="22" t="s">
        <v>27</v>
      </c>
      <c r="E16" s="23">
        <v>24</v>
      </c>
      <c r="F16" s="23">
        <f t="shared" si="0"/>
        <v>-1</v>
      </c>
      <c r="G16" s="27" t="s">
        <v>9</v>
      </c>
      <c r="H16" s="24" t="s">
        <v>17</v>
      </c>
      <c r="J16" s="3">
        <f t="shared" si="1"/>
        <v>7</v>
      </c>
      <c r="K16" s="35">
        <v>25</v>
      </c>
      <c r="L16" s="35">
        <f t="shared" si="2"/>
        <v>24</v>
      </c>
      <c r="M16" s="35">
        <v>23</v>
      </c>
      <c r="N16" s="35">
        <v>27</v>
      </c>
      <c r="O16" s="35">
        <v>21</v>
      </c>
      <c r="P16" s="35">
        <v>29</v>
      </c>
    </row>
    <row r="17" spans="1:16" ht="20.149999999999999" customHeight="1" x14ac:dyDescent="0.45">
      <c r="A17" s="22">
        <v>8</v>
      </c>
      <c r="B17" s="21">
        <v>44656</v>
      </c>
      <c r="C17" s="21" t="s">
        <v>62</v>
      </c>
      <c r="D17" s="22" t="s">
        <v>28</v>
      </c>
      <c r="E17" s="23">
        <v>24</v>
      </c>
      <c r="F17" s="23">
        <f t="shared" si="0"/>
        <v>-1</v>
      </c>
      <c r="G17" s="27" t="s">
        <v>9</v>
      </c>
      <c r="H17" s="24" t="s">
        <v>17</v>
      </c>
      <c r="J17" s="3">
        <f t="shared" si="1"/>
        <v>8</v>
      </c>
      <c r="K17" s="35">
        <v>25</v>
      </c>
      <c r="L17" s="35">
        <f t="shared" si="2"/>
        <v>24</v>
      </c>
      <c r="M17" s="35">
        <v>23</v>
      </c>
      <c r="N17" s="35">
        <v>27</v>
      </c>
      <c r="O17" s="35">
        <v>21</v>
      </c>
      <c r="P17" s="35">
        <v>29</v>
      </c>
    </row>
    <row r="18" spans="1:16" ht="20.149999999999999" customHeight="1" x14ac:dyDescent="0.45">
      <c r="A18" s="22">
        <v>9</v>
      </c>
      <c r="B18" s="21">
        <v>44657</v>
      </c>
      <c r="C18" s="21" t="s">
        <v>63</v>
      </c>
      <c r="D18" s="22" t="s">
        <v>27</v>
      </c>
      <c r="E18" s="23">
        <v>23</v>
      </c>
      <c r="F18" s="23">
        <f t="shared" si="0"/>
        <v>-2</v>
      </c>
      <c r="G18" s="27" t="s">
        <v>9</v>
      </c>
      <c r="H18" s="24" t="s">
        <v>17</v>
      </c>
      <c r="J18" s="3">
        <f t="shared" si="1"/>
        <v>9</v>
      </c>
      <c r="K18" s="35">
        <v>25</v>
      </c>
      <c r="L18" s="35">
        <f t="shared" si="2"/>
        <v>23</v>
      </c>
      <c r="M18" s="35">
        <v>23</v>
      </c>
      <c r="N18" s="35">
        <v>27</v>
      </c>
      <c r="O18" s="35">
        <v>21</v>
      </c>
      <c r="P18" s="35">
        <v>29</v>
      </c>
    </row>
    <row r="19" spans="1:16" ht="20.149999999999999" customHeight="1" x14ac:dyDescent="0.45">
      <c r="A19" s="22">
        <v>10</v>
      </c>
      <c r="B19" s="21">
        <v>44657</v>
      </c>
      <c r="C19" s="21" t="s">
        <v>63</v>
      </c>
      <c r="D19" s="22" t="s">
        <v>28</v>
      </c>
      <c r="E19" s="23">
        <v>23</v>
      </c>
      <c r="F19" s="23">
        <f t="shared" si="0"/>
        <v>-2</v>
      </c>
      <c r="G19" s="27" t="s">
        <v>9</v>
      </c>
      <c r="H19" s="24" t="s">
        <v>17</v>
      </c>
      <c r="J19" s="3">
        <f t="shared" si="1"/>
        <v>10</v>
      </c>
      <c r="K19" s="35">
        <v>25</v>
      </c>
      <c r="L19" s="35">
        <f t="shared" si="2"/>
        <v>23</v>
      </c>
      <c r="M19" s="35">
        <v>23</v>
      </c>
      <c r="N19" s="35">
        <v>27</v>
      </c>
      <c r="O19" s="35">
        <v>21</v>
      </c>
      <c r="P19" s="35">
        <v>29</v>
      </c>
    </row>
    <row r="20" spans="1:16" ht="19.5" customHeight="1" x14ac:dyDescent="0.45">
      <c r="A20" s="22">
        <v>11</v>
      </c>
      <c r="B20" s="21">
        <v>44658</v>
      </c>
      <c r="C20" s="21" t="s">
        <v>66</v>
      </c>
      <c r="D20" s="22" t="s">
        <v>27</v>
      </c>
      <c r="E20" s="23">
        <v>25</v>
      </c>
      <c r="F20" s="23">
        <f t="shared" si="0"/>
        <v>0</v>
      </c>
      <c r="G20" s="27" t="s">
        <v>9</v>
      </c>
      <c r="H20" s="24" t="s">
        <v>17</v>
      </c>
      <c r="J20" s="3">
        <f t="shared" si="1"/>
        <v>11</v>
      </c>
      <c r="K20" s="35">
        <v>25</v>
      </c>
      <c r="L20" s="35">
        <f t="shared" si="2"/>
        <v>25</v>
      </c>
      <c r="M20" s="35">
        <v>23</v>
      </c>
      <c r="N20" s="35">
        <v>27</v>
      </c>
      <c r="O20" s="35">
        <v>21</v>
      </c>
      <c r="P20" s="35">
        <v>29</v>
      </c>
    </row>
    <row r="21" spans="1:16" ht="19.5" customHeight="1" x14ac:dyDescent="0.45">
      <c r="A21" s="22">
        <v>12</v>
      </c>
      <c r="B21" s="21">
        <v>44658</v>
      </c>
      <c r="C21" s="21" t="s">
        <v>66</v>
      </c>
      <c r="D21" s="22" t="s">
        <v>53</v>
      </c>
      <c r="E21" s="23">
        <v>25</v>
      </c>
      <c r="F21" s="23">
        <f t="shared" si="0"/>
        <v>0</v>
      </c>
      <c r="G21" s="27" t="s">
        <v>9</v>
      </c>
      <c r="H21" s="24" t="s">
        <v>17</v>
      </c>
      <c r="J21" s="3">
        <f t="shared" si="1"/>
        <v>12</v>
      </c>
      <c r="K21" s="35">
        <v>25</v>
      </c>
      <c r="L21" s="35">
        <f t="shared" si="2"/>
        <v>25</v>
      </c>
      <c r="M21" s="35">
        <v>23</v>
      </c>
      <c r="N21" s="35">
        <v>27</v>
      </c>
      <c r="O21" s="35">
        <v>21</v>
      </c>
      <c r="P21" s="35">
        <v>29</v>
      </c>
    </row>
    <row r="22" spans="1:16" ht="20.149999999999999" customHeight="1" x14ac:dyDescent="0.45">
      <c r="A22" s="22">
        <v>13</v>
      </c>
      <c r="B22" s="21">
        <v>44659</v>
      </c>
      <c r="C22" s="21" t="s">
        <v>59</v>
      </c>
      <c r="D22" s="22" t="s">
        <v>27</v>
      </c>
      <c r="E22" s="23">
        <v>23</v>
      </c>
      <c r="F22" s="23">
        <f t="shared" si="0"/>
        <v>-2</v>
      </c>
      <c r="G22" s="27" t="s">
        <v>9</v>
      </c>
      <c r="H22" s="24" t="s">
        <v>17</v>
      </c>
      <c r="J22" s="3">
        <f t="shared" si="1"/>
        <v>13</v>
      </c>
      <c r="K22" s="35">
        <v>25</v>
      </c>
      <c r="L22" s="35">
        <f t="shared" si="2"/>
        <v>23</v>
      </c>
      <c r="M22" s="35">
        <v>23</v>
      </c>
      <c r="N22" s="35">
        <v>27</v>
      </c>
      <c r="O22" s="35">
        <v>21</v>
      </c>
      <c r="P22" s="35">
        <v>29</v>
      </c>
    </row>
    <row r="23" spans="1:16" ht="20.149999999999999" customHeight="1" x14ac:dyDescent="0.45">
      <c r="A23" s="22">
        <v>14</v>
      </c>
      <c r="B23" s="21">
        <v>44659</v>
      </c>
      <c r="C23" s="21" t="s">
        <v>59</v>
      </c>
      <c r="D23" s="22" t="s">
        <v>28</v>
      </c>
      <c r="E23" s="23">
        <v>23</v>
      </c>
      <c r="F23" s="23">
        <f t="shared" si="0"/>
        <v>-2</v>
      </c>
      <c r="G23" s="27" t="s">
        <v>9</v>
      </c>
      <c r="H23" s="24" t="s">
        <v>17</v>
      </c>
      <c r="J23" s="3">
        <f t="shared" si="1"/>
        <v>14</v>
      </c>
      <c r="K23" s="35">
        <v>25</v>
      </c>
      <c r="L23" s="35">
        <f t="shared" si="2"/>
        <v>23</v>
      </c>
      <c r="M23" s="35">
        <v>23</v>
      </c>
      <c r="N23" s="35">
        <v>27</v>
      </c>
      <c r="O23" s="35">
        <v>21</v>
      </c>
      <c r="P23" s="35">
        <v>29</v>
      </c>
    </row>
    <row r="24" spans="1:16" ht="20.149999999999999" customHeight="1" x14ac:dyDescent="0.45">
      <c r="A24" s="22">
        <v>15</v>
      </c>
      <c r="B24" s="21">
        <v>44660</v>
      </c>
      <c r="C24" s="21" t="s">
        <v>60</v>
      </c>
      <c r="D24" s="22" t="s">
        <v>27</v>
      </c>
      <c r="E24" s="23">
        <v>24</v>
      </c>
      <c r="F24" s="23">
        <f t="shared" si="0"/>
        <v>-1</v>
      </c>
      <c r="G24" s="27" t="s">
        <v>9</v>
      </c>
      <c r="H24" s="24" t="s">
        <v>17</v>
      </c>
      <c r="J24" s="3">
        <f t="shared" si="1"/>
        <v>15</v>
      </c>
      <c r="K24" s="35">
        <v>25</v>
      </c>
      <c r="L24" s="35">
        <f t="shared" si="2"/>
        <v>24</v>
      </c>
      <c r="M24" s="35">
        <v>23</v>
      </c>
      <c r="N24" s="35">
        <v>27</v>
      </c>
      <c r="O24" s="35">
        <v>21</v>
      </c>
      <c r="P24" s="35">
        <v>29</v>
      </c>
    </row>
    <row r="25" spans="1:16" ht="19.5" customHeight="1" x14ac:dyDescent="0.45">
      <c r="A25" s="22">
        <v>16</v>
      </c>
      <c r="B25" s="21">
        <v>44660</v>
      </c>
      <c r="C25" s="21" t="s">
        <v>60</v>
      </c>
      <c r="D25" s="22" t="s">
        <v>28</v>
      </c>
      <c r="E25" s="23">
        <v>24</v>
      </c>
      <c r="F25" s="23">
        <f t="shared" si="0"/>
        <v>-1</v>
      </c>
      <c r="G25" s="27" t="s">
        <v>9</v>
      </c>
      <c r="H25" s="24" t="s">
        <v>17</v>
      </c>
      <c r="J25" s="3">
        <f t="shared" si="1"/>
        <v>16</v>
      </c>
      <c r="K25" s="35">
        <v>25</v>
      </c>
      <c r="L25" s="35">
        <f t="shared" si="2"/>
        <v>24</v>
      </c>
      <c r="M25" s="35">
        <v>23</v>
      </c>
      <c r="N25" s="35">
        <v>27</v>
      </c>
      <c r="O25" s="35">
        <v>21</v>
      </c>
      <c r="P25" s="35">
        <v>29</v>
      </c>
    </row>
    <row r="26" spans="1:16" ht="20.149999999999999" customHeight="1" x14ac:dyDescent="0.45">
      <c r="A26" s="22">
        <v>17</v>
      </c>
      <c r="B26" s="21">
        <v>44662</v>
      </c>
      <c r="C26" s="21" t="s">
        <v>61</v>
      </c>
      <c r="D26" s="22" t="s">
        <v>27</v>
      </c>
      <c r="E26" s="23">
        <v>25</v>
      </c>
      <c r="F26" s="23">
        <f t="shared" si="0"/>
        <v>0</v>
      </c>
      <c r="G26" s="27" t="s">
        <v>9</v>
      </c>
      <c r="H26" s="24" t="s">
        <v>17</v>
      </c>
      <c r="J26" s="3">
        <f t="shared" si="1"/>
        <v>17</v>
      </c>
      <c r="K26" s="35">
        <v>25</v>
      </c>
      <c r="L26" s="35">
        <f t="shared" si="2"/>
        <v>25</v>
      </c>
      <c r="M26" s="35">
        <v>23</v>
      </c>
      <c r="N26" s="35">
        <v>27</v>
      </c>
      <c r="O26" s="35">
        <v>21</v>
      </c>
      <c r="P26" s="35">
        <v>29</v>
      </c>
    </row>
    <row r="27" spans="1:16" ht="20.149999999999999" customHeight="1" x14ac:dyDescent="0.45">
      <c r="A27" s="22">
        <v>18</v>
      </c>
      <c r="B27" s="21">
        <v>44662</v>
      </c>
      <c r="C27" s="21" t="s">
        <v>61</v>
      </c>
      <c r="D27" s="22" t="s">
        <v>28</v>
      </c>
      <c r="E27" s="23">
        <v>25</v>
      </c>
      <c r="F27" s="23">
        <f t="shared" si="0"/>
        <v>0</v>
      </c>
      <c r="G27" s="27" t="s">
        <v>9</v>
      </c>
      <c r="H27" s="24" t="s">
        <v>17</v>
      </c>
      <c r="J27" s="3">
        <f t="shared" si="1"/>
        <v>18</v>
      </c>
      <c r="K27" s="35">
        <v>25</v>
      </c>
      <c r="L27" s="35">
        <f t="shared" si="2"/>
        <v>25</v>
      </c>
      <c r="M27" s="35">
        <v>23</v>
      </c>
      <c r="N27" s="35">
        <v>27</v>
      </c>
      <c r="O27" s="35">
        <v>21</v>
      </c>
      <c r="P27" s="35">
        <v>29</v>
      </c>
    </row>
    <row r="28" spans="1:16" ht="20.149999999999999" customHeight="1" x14ac:dyDescent="0.45">
      <c r="A28" s="22">
        <v>19</v>
      </c>
      <c r="B28" s="21">
        <v>44663</v>
      </c>
      <c r="C28" s="21" t="s">
        <v>62</v>
      </c>
      <c r="D28" s="22" t="s">
        <v>27</v>
      </c>
      <c r="E28" s="23">
        <v>25</v>
      </c>
      <c r="F28" s="23">
        <f t="shared" si="0"/>
        <v>0</v>
      </c>
      <c r="G28" s="27" t="s">
        <v>9</v>
      </c>
      <c r="H28" s="24" t="s">
        <v>17</v>
      </c>
      <c r="J28" s="3">
        <f t="shared" si="1"/>
        <v>19</v>
      </c>
      <c r="K28" s="35">
        <v>25</v>
      </c>
      <c r="L28" s="35">
        <f t="shared" si="2"/>
        <v>25</v>
      </c>
      <c r="M28" s="35">
        <v>23</v>
      </c>
      <c r="N28" s="35">
        <v>27</v>
      </c>
      <c r="O28" s="35">
        <v>21</v>
      </c>
      <c r="P28" s="35">
        <v>29</v>
      </c>
    </row>
    <row r="29" spans="1:16" ht="19.5" customHeight="1" x14ac:dyDescent="0.45">
      <c r="A29" s="22">
        <v>20</v>
      </c>
      <c r="B29" s="21">
        <v>44663</v>
      </c>
      <c r="C29" s="21" t="s">
        <v>62</v>
      </c>
      <c r="D29" s="22" t="s">
        <v>28</v>
      </c>
      <c r="E29" s="23">
        <v>25</v>
      </c>
      <c r="F29" s="23">
        <f t="shared" si="0"/>
        <v>0</v>
      </c>
      <c r="G29" s="27" t="s">
        <v>9</v>
      </c>
      <c r="H29" s="24" t="s">
        <v>17</v>
      </c>
      <c r="J29" s="3">
        <f t="shared" si="1"/>
        <v>20</v>
      </c>
      <c r="K29" s="35">
        <v>25</v>
      </c>
      <c r="L29" s="35">
        <f t="shared" si="2"/>
        <v>25</v>
      </c>
      <c r="M29" s="35">
        <v>23</v>
      </c>
      <c r="N29" s="35">
        <v>27</v>
      </c>
      <c r="O29" s="35">
        <v>21</v>
      </c>
      <c r="P29" s="35">
        <v>29</v>
      </c>
    </row>
    <row r="30" spans="1:16" ht="20.149999999999999" customHeight="1" x14ac:dyDescent="0.45">
      <c r="A30" s="22">
        <v>21</v>
      </c>
      <c r="B30" s="21">
        <v>44664</v>
      </c>
      <c r="C30" s="21" t="s">
        <v>63</v>
      </c>
      <c r="D30" s="22" t="s">
        <v>27</v>
      </c>
      <c r="E30" s="23">
        <v>26</v>
      </c>
      <c r="F30" s="23">
        <f t="shared" si="0"/>
        <v>1</v>
      </c>
      <c r="G30" s="33" t="s">
        <v>9</v>
      </c>
      <c r="H30" s="24" t="s">
        <v>17</v>
      </c>
      <c r="J30" s="3">
        <f t="shared" si="1"/>
        <v>21</v>
      </c>
      <c r="K30" s="35">
        <v>25</v>
      </c>
      <c r="L30" s="35">
        <f t="shared" si="2"/>
        <v>26</v>
      </c>
      <c r="M30" s="35">
        <v>23</v>
      </c>
      <c r="N30" s="35">
        <v>27</v>
      </c>
      <c r="O30" s="35">
        <v>21</v>
      </c>
      <c r="P30" s="35">
        <v>29</v>
      </c>
    </row>
    <row r="31" spans="1:16" ht="20.149999999999999" customHeight="1" x14ac:dyDescent="0.45">
      <c r="A31" s="22">
        <v>22</v>
      </c>
      <c r="B31" s="21">
        <v>44664</v>
      </c>
      <c r="C31" s="21" t="s">
        <v>63</v>
      </c>
      <c r="D31" s="22" t="s">
        <v>28</v>
      </c>
      <c r="E31" s="23">
        <v>26</v>
      </c>
      <c r="F31" s="23">
        <f t="shared" si="0"/>
        <v>1</v>
      </c>
      <c r="G31" s="27" t="s">
        <v>9</v>
      </c>
      <c r="H31" s="24" t="s">
        <v>17</v>
      </c>
      <c r="J31" s="3">
        <f t="shared" si="1"/>
        <v>22</v>
      </c>
      <c r="K31" s="35">
        <v>25</v>
      </c>
      <c r="L31" s="35">
        <f t="shared" si="2"/>
        <v>26</v>
      </c>
      <c r="M31" s="35">
        <v>23</v>
      </c>
      <c r="N31" s="35">
        <v>27</v>
      </c>
      <c r="O31" s="35">
        <v>21</v>
      </c>
      <c r="P31" s="35">
        <v>29</v>
      </c>
    </row>
    <row r="32" spans="1:16" ht="20.149999999999999" customHeight="1" x14ac:dyDescent="0.45">
      <c r="A32" s="22">
        <v>23</v>
      </c>
      <c r="B32" s="21">
        <v>44665</v>
      </c>
      <c r="C32" s="21" t="s">
        <v>64</v>
      </c>
      <c r="D32" s="22" t="s">
        <v>27</v>
      </c>
      <c r="E32" s="23">
        <v>26</v>
      </c>
      <c r="F32" s="23">
        <f t="shared" si="0"/>
        <v>1</v>
      </c>
      <c r="G32" s="27" t="s">
        <v>9</v>
      </c>
      <c r="H32" s="24" t="s">
        <v>17</v>
      </c>
      <c r="J32" s="3">
        <f t="shared" si="1"/>
        <v>23</v>
      </c>
      <c r="K32" s="35">
        <v>25</v>
      </c>
      <c r="L32" s="35">
        <f t="shared" si="2"/>
        <v>26</v>
      </c>
      <c r="M32" s="35">
        <v>23</v>
      </c>
      <c r="N32" s="35">
        <v>27</v>
      </c>
      <c r="O32" s="35">
        <v>21</v>
      </c>
      <c r="P32" s="35">
        <v>29</v>
      </c>
    </row>
    <row r="33" spans="1:16" ht="20.149999999999999" customHeight="1" x14ac:dyDescent="0.45">
      <c r="A33" s="22">
        <v>24</v>
      </c>
      <c r="B33" s="21">
        <v>44665</v>
      </c>
      <c r="C33" s="21" t="s">
        <v>64</v>
      </c>
      <c r="D33" s="22" t="s">
        <v>28</v>
      </c>
      <c r="E33" s="23">
        <v>26</v>
      </c>
      <c r="F33" s="23">
        <f t="shared" si="0"/>
        <v>1</v>
      </c>
      <c r="G33" s="27" t="s">
        <v>9</v>
      </c>
      <c r="H33" s="24" t="s">
        <v>17</v>
      </c>
      <c r="J33" s="3">
        <f t="shared" si="1"/>
        <v>24</v>
      </c>
      <c r="K33" s="35">
        <v>25</v>
      </c>
      <c r="L33" s="35">
        <f t="shared" si="2"/>
        <v>26</v>
      </c>
      <c r="M33" s="35">
        <v>23</v>
      </c>
      <c r="N33" s="35">
        <v>27</v>
      </c>
      <c r="O33" s="35">
        <v>21</v>
      </c>
      <c r="P33" s="35">
        <v>29</v>
      </c>
    </row>
    <row r="34" spans="1:16" ht="20.149999999999999" customHeight="1" x14ac:dyDescent="0.45">
      <c r="A34" s="22">
        <v>25</v>
      </c>
      <c r="B34" s="21">
        <v>44666</v>
      </c>
      <c r="C34" s="21" t="s">
        <v>59</v>
      </c>
      <c r="D34" s="22" t="s">
        <v>27</v>
      </c>
      <c r="E34" s="23">
        <v>24</v>
      </c>
      <c r="F34" s="23">
        <f t="shared" si="0"/>
        <v>-1</v>
      </c>
      <c r="G34" s="27" t="s">
        <v>9</v>
      </c>
      <c r="H34" s="24" t="s">
        <v>17</v>
      </c>
      <c r="J34" s="3">
        <f t="shared" si="1"/>
        <v>25</v>
      </c>
      <c r="K34" s="35">
        <v>25</v>
      </c>
      <c r="L34" s="35">
        <f t="shared" si="2"/>
        <v>24</v>
      </c>
      <c r="M34" s="35">
        <v>23</v>
      </c>
      <c r="N34" s="35">
        <v>27</v>
      </c>
      <c r="O34" s="35">
        <v>21</v>
      </c>
      <c r="P34" s="35">
        <v>29</v>
      </c>
    </row>
    <row r="35" spans="1:16" ht="20.149999999999999" customHeight="1" x14ac:dyDescent="0.45">
      <c r="A35" s="22">
        <v>26</v>
      </c>
      <c r="B35" s="21">
        <v>44666</v>
      </c>
      <c r="C35" s="21" t="s">
        <v>59</v>
      </c>
      <c r="D35" s="22" t="s">
        <v>28</v>
      </c>
      <c r="E35" s="23">
        <v>24</v>
      </c>
      <c r="F35" s="23">
        <f t="shared" si="0"/>
        <v>-1</v>
      </c>
      <c r="G35" s="27" t="s">
        <v>9</v>
      </c>
      <c r="H35" s="24" t="s">
        <v>17</v>
      </c>
      <c r="J35" s="3">
        <f t="shared" si="1"/>
        <v>26</v>
      </c>
      <c r="K35" s="35">
        <v>25</v>
      </c>
      <c r="L35" s="35">
        <f t="shared" si="2"/>
        <v>24</v>
      </c>
      <c r="M35" s="35">
        <v>23</v>
      </c>
      <c r="N35" s="35">
        <v>27</v>
      </c>
      <c r="O35" s="35">
        <v>21</v>
      </c>
      <c r="P35" s="35">
        <v>29</v>
      </c>
    </row>
    <row r="36" spans="1:16" s="34" customFormat="1" ht="20.149999999999999" customHeight="1" x14ac:dyDescent="0.45">
      <c r="A36" s="21" t="s">
        <v>54</v>
      </c>
      <c r="B36" s="47">
        <f>AVERAGE(E10:E35)</f>
        <v>24.384615384615383</v>
      </c>
      <c r="C36" s="21" t="s">
        <v>55</v>
      </c>
      <c r="D36" s="48">
        <v>25</v>
      </c>
      <c r="E36" s="23" t="s">
        <v>56</v>
      </c>
      <c r="F36" s="48">
        <v>23</v>
      </c>
      <c r="G36" s="48"/>
      <c r="H36" s="24" t="s">
        <v>17</v>
      </c>
      <c r="K36" s="35"/>
      <c r="L36" s="35"/>
      <c r="M36" s="35"/>
      <c r="N36" s="35"/>
      <c r="O36" s="35"/>
      <c r="P36" s="35"/>
    </row>
    <row r="37" spans="1:16" ht="40.5" customHeight="1" x14ac:dyDescent="0.45">
      <c r="A37" s="29" t="s">
        <v>10</v>
      </c>
      <c r="B37" s="30"/>
      <c r="C37" s="30"/>
      <c r="D37" s="31"/>
      <c r="E37" s="31"/>
      <c r="F37" s="31"/>
      <c r="G37" s="31"/>
      <c r="H37" s="31"/>
    </row>
    <row r="38" spans="1:16" ht="20.149999999999999" customHeight="1" x14ac:dyDescent="0.45">
      <c r="A38" s="30"/>
      <c r="B38" s="30"/>
      <c r="C38" s="30"/>
      <c r="D38" s="49" t="s">
        <v>1</v>
      </c>
      <c r="E38" s="30"/>
      <c r="F38" s="30"/>
      <c r="G38" s="49" t="s">
        <v>2</v>
      </c>
      <c r="H38" s="49" t="s">
        <v>3</v>
      </c>
    </row>
    <row r="39" spans="1:16" ht="33" customHeight="1" x14ac:dyDescent="0.45"/>
    <row r="40" spans="1:16" x14ac:dyDescent="0.45">
      <c r="A40" s="18" t="s">
        <v>16</v>
      </c>
      <c r="E40" s="19"/>
      <c r="F40" s="19"/>
    </row>
    <row r="41" spans="1:16" x14ac:dyDescent="0.45">
      <c r="D41" s="20" t="s">
        <v>1</v>
      </c>
      <c r="G41" s="20" t="s">
        <v>2</v>
      </c>
      <c r="H41" s="20" t="s">
        <v>3</v>
      </c>
    </row>
    <row r="42" spans="1:16" ht="11.25" customHeight="1" x14ac:dyDescent="0.45"/>
    <row r="43" spans="1:16" ht="34.5" customHeight="1" x14ac:dyDescent="0.45">
      <c r="A43" s="18" t="s">
        <v>20</v>
      </c>
      <c r="D43" s="19"/>
      <c r="E43" s="19"/>
      <c r="F43" s="19"/>
      <c r="G43" s="19"/>
      <c r="H43" s="19"/>
    </row>
    <row r="44" spans="1:16" ht="56.25" customHeight="1" x14ac:dyDescent="0.45">
      <c r="D44" s="19"/>
      <c r="E44" s="19"/>
      <c r="F44" s="19"/>
      <c r="G44" s="19"/>
      <c r="H44" s="19"/>
    </row>
    <row r="45" spans="1:16" ht="58.5" customHeight="1" x14ac:dyDescent="0.45">
      <c r="D45" s="19"/>
      <c r="E45" s="19"/>
      <c r="F45" s="19"/>
      <c r="H45" s="51"/>
    </row>
    <row r="46" spans="1:16" ht="27" customHeight="1" x14ac:dyDescent="0.45">
      <c r="G46" s="20" t="s">
        <v>2</v>
      </c>
      <c r="H46" s="52" t="s">
        <v>3</v>
      </c>
    </row>
    <row r="47" spans="1:16" ht="18.75" customHeight="1" thickBot="1" x14ac:dyDescent="0.5">
      <c r="G47" s="6"/>
      <c r="H47" s="6"/>
    </row>
    <row r="48" spans="1:16" s="41" customFormat="1" ht="27.75" customHeight="1" x14ac:dyDescent="0.45">
      <c r="A48" s="42" t="s">
        <v>47</v>
      </c>
      <c r="B48" s="43" t="s">
        <v>48</v>
      </c>
      <c r="C48" s="34"/>
      <c r="D48" s="44" t="s">
        <v>49</v>
      </c>
      <c r="E48" s="43">
        <v>0</v>
      </c>
      <c r="F48" s="44" t="s">
        <v>50</v>
      </c>
      <c r="G48" s="45">
        <v>43836</v>
      </c>
      <c r="H48" s="46" t="s">
        <v>0</v>
      </c>
    </row>
    <row r="49" spans="3:3" ht="16.5" thickBot="1" x14ac:dyDescent="0.5">
      <c r="C49" s="41"/>
    </row>
    <row r="50" spans="3:3" x14ac:dyDescent="0.45">
      <c r="C50" s="43"/>
    </row>
  </sheetData>
  <mergeCells count="1">
    <mergeCell ref="D1:F1"/>
  </mergeCells>
  <printOptions horizontalCentered="1" verticalCentered="1"/>
  <pageMargins left="0.7" right="0.7" top="0.75" bottom="0.75" header="0.3" footer="0.3"/>
  <pageSetup paperSize="9" scale="53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"/>
  <sheetViews>
    <sheetView view="pageBreakPreview" zoomScaleNormal="100" zoomScaleSheetLayoutView="100" workbookViewId="0">
      <selection activeCell="E8" sqref="E8"/>
    </sheetView>
  </sheetViews>
  <sheetFormatPr defaultColWidth="9.1796875" defaultRowHeight="16" x14ac:dyDescent="0.45"/>
  <cols>
    <col min="1" max="1" width="17.26953125" style="3" customWidth="1"/>
    <col min="2" max="2" width="15.81640625" style="34" customWidth="1"/>
    <col min="3" max="3" width="15.54296875" style="34" customWidth="1"/>
    <col min="4" max="4" width="16.1796875" style="3" customWidth="1"/>
    <col min="5" max="5" width="16.26953125" style="3" customWidth="1"/>
    <col min="6" max="6" width="16.81640625" style="3" customWidth="1"/>
    <col min="7" max="7" width="17.1796875" style="3" customWidth="1"/>
    <col min="8" max="8" width="20" style="3" customWidth="1"/>
    <col min="9" max="9" width="16.1796875" style="3" customWidth="1"/>
    <col min="10" max="16384" width="9.1796875" style="3"/>
  </cols>
  <sheetData>
    <row r="1" spans="1:17" s="41" customFormat="1" ht="21" customHeight="1" x14ac:dyDescent="0.45">
      <c r="A1" s="37"/>
      <c r="B1" s="53"/>
      <c r="C1" s="53"/>
      <c r="D1" s="54" t="s">
        <v>4</v>
      </c>
      <c r="E1" s="54"/>
      <c r="F1" s="54"/>
      <c r="G1" s="39"/>
      <c r="H1" s="40"/>
    </row>
    <row r="2" spans="1:17" x14ac:dyDescent="0.45">
      <c r="A2" s="6"/>
      <c r="B2" s="5"/>
      <c r="C2" s="5"/>
    </row>
    <row r="3" spans="1:17" ht="19.5" customHeight="1" x14ac:dyDescent="0.45">
      <c r="A3" s="7" t="s">
        <v>5</v>
      </c>
      <c r="B3" s="2"/>
      <c r="C3" s="4"/>
      <c r="D3" s="4" t="s">
        <v>30</v>
      </c>
      <c r="E3" s="2"/>
      <c r="F3" s="7" t="s">
        <v>22</v>
      </c>
      <c r="G3" s="8" t="s">
        <v>57</v>
      </c>
      <c r="H3" s="9"/>
    </row>
    <row r="4" spans="1:17" ht="21.75" customHeight="1" x14ac:dyDescent="0.45">
      <c r="A4" s="7" t="s">
        <v>18</v>
      </c>
      <c r="B4" s="2"/>
      <c r="C4" s="4"/>
      <c r="D4" s="4" t="s">
        <v>45</v>
      </c>
      <c r="E4" s="11"/>
      <c r="F4" s="12" t="s">
        <v>19</v>
      </c>
      <c r="G4" s="10" t="s">
        <v>24</v>
      </c>
      <c r="H4" s="9"/>
    </row>
    <row r="5" spans="1:17" ht="16.5" x14ac:dyDescent="0.45">
      <c r="A5" s="7" t="s">
        <v>31</v>
      </c>
      <c r="B5" s="2"/>
      <c r="C5" s="4"/>
      <c r="D5" s="28">
        <v>25</v>
      </c>
      <c r="E5" s="13"/>
      <c r="F5" s="12" t="s">
        <v>23</v>
      </c>
      <c r="G5" s="14" t="s">
        <v>43</v>
      </c>
      <c r="H5" s="13"/>
    </row>
    <row r="6" spans="1:17" ht="16.5" x14ac:dyDescent="0.45">
      <c r="A6" s="7" t="s">
        <v>32</v>
      </c>
      <c r="B6" s="2"/>
      <c r="C6" s="4"/>
      <c r="D6" s="28">
        <v>23</v>
      </c>
      <c r="E6" s="15"/>
      <c r="F6" s="12" t="s">
        <v>6</v>
      </c>
      <c r="G6" s="14" t="s">
        <v>33</v>
      </c>
      <c r="H6" s="15"/>
    </row>
    <row r="7" spans="1:17" ht="16.5" x14ac:dyDescent="0.45">
      <c r="A7" s="7" t="s">
        <v>34</v>
      </c>
      <c r="B7" s="2"/>
      <c r="C7" s="4"/>
      <c r="D7" s="28">
        <v>21</v>
      </c>
      <c r="E7" s="15"/>
      <c r="F7" s="12" t="s">
        <v>7</v>
      </c>
      <c r="G7" s="14" t="s">
        <v>35</v>
      </c>
      <c r="H7" s="15"/>
    </row>
    <row r="8" spans="1:17" ht="339.75" customHeight="1" x14ac:dyDescent="0.45">
      <c r="D8" s="16"/>
      <c r="F8" s="16"/>
    </row>
    <row r="9" spans="1:17" ht="46.5" customHeight="1" x14ac:dyDescent="0.45">
      <c r="A9" s="1" t="s">
        <v>29</v>
      </c>
      <c r="B9" s="1" t="s">
        <v>3</v>
      </c>
      <c r="C9" s="1" t="s">
        <v>51</v>
      </c>
      <c r="D9" s="1" t="s">
        <v>26</v>
      </c>
      <c r="E9" s="1" t="s">
        <v>36</v>
      </c>
      <c r="F9" s="1" t="s">
        <v>37</v>
      </c>
      <c r="G9" s="1" t="s">
        <v>8</v>
      </c>
      <c r="H9" s="1" t="s">
        <v>25</v>
      </c>
      <c r="J9" s="25" t="s">
        <v>15</v>
      </c>
      <c r="K9" s="26" t="s">
        <v>38</v>
      </c>
      <c r="L9" s="26" t="s">
        <v>39</v>
      </c>
      <c r="M9" s="26" t="s">
        <v>11</v>
      </c>
      <c r="N9" s="26" t="s">
        <v>12</v>
      </c>
      <c r="O9" s="26" t="s">
        <v>13</v>
      </c>
      <c r="P9" s="26" t="s">
        <v>14</v>
      </c>
    </row>
    <row r="10" spans="1:17" ht="20.149999999999999" customHeight="1" x14ac:dyDescent="0.45">
      <c r="A10" s="22">
        <v>1</v>
      </c>
      <c r="B10" s="21">
        <v>44652</v>
      </c>
      <c r="C10" s="21" t="s">
        <v>65</v>
      </c>
      <c r="D10" s="22" t="s">
        <v>27</v>
      </c>
      <c r="E10" s="23">
        <v>25</v>
      </c>
      <c r="F10" s="23">
        <f t="shared" ref="F10:F35" si="0">E10-$D$5</f>
        <v>0</v>
      </c>
      <c r="G10" s="27" t="s">
        <v>9</v>
      </c>
      <c r="H10" s="24" t="s">
        <v>17</v>
      </c>
      <c r="J10" s="3">
        <f t="shared" ref="J10:J35" si="1">A10</f>
        <v>1</v>
      </c>
      <c r="K10" s="35">
        <v>25</v>
      </c>
      <c r="L10" s="35">
        <f>E10</f>
        <v>25</v>
      </c>
      <c r="M10" s="35">
        <v>23</v>
      </c>
      <c r="N10" s="35">
        <v>27</v>
      </c>
      <c r="O10" s="35">
        <v>21</v>
      </c>
      <c r="P10" s="35">
        <v>29</v>
      </c>
      <c r="Q10" s="34"/>
    </row>
    <row r="11" spans="1:17" ht="20.149999999999999" customHeight="1" x14ac:dyDescent="0.45">
      <c r="A11" s="22">
        <v>2</v>
      </c>
      <c r="B11" s="21">
        <v>44652</v>
      </c>
      <c r="C11" s="21" t="s">
        <v>65</v>
      </c>
      <c r="D11" s="22" t="s">
        <v>28</v>
      </c>
      <c r="E11" s="23">
        <v>25</v>
      </c>
      <c r="F11" s="23">
        <f t="shared" si="0"/>
        <v>0</v>
      </c>
      <c r="G11" s="27" t="s">
        <v>9</v>
      </c>
      <c r="H11" s="24" t="s">
        <v>17</v>
      </c>
      <c r="J11" s="3">
        <f t="shared" si="1"/>
        <v>2</v>
      </c>
      <c r="K11" s="35">
        <v>25</v>
      </c>
      <c r="L11" s="35">
        <f t="shared" ref="L11:L35" si="2">E11</f>
        <v>25</v>
      </c>
      <c r="M11" s="35">
        <v>23</v>
      </c>
      <c r="N11" s="35">
        <v>27</v>
      </c>
      <c r="O11" s="35">
        <v>21</v>
      </c>
      <c r="P11" s="35">
        <v>29</v>
      </c>
    </row>
    <row r="12" spans="1:17" ht="20.149999999999999" customHeight="1" x14ac:dyDescent="0.45">
      <c r="A12" s="22">
        <v>3</v>
      </c>
      <c r="B12" s="21">
        <v>44653</v>
      </c>
      <c r="C12" s="21" t="s">
        <v>60</v>
      </c>
      <c r="D12" s="22" t="s">
        <v>27</v>
      </c>
      <c r="E12" s="23">
        <v>24</v>
      </c>
      <c r="F12" s="23">
        <f t="shared" si="0"/>
        <v>-1</v>
      </c>
      <c r="G12" s="27" t="s">
        <v>9</v>
      </c>
      <c r="H12" s="24" t="s">
        <v>17</v>
      </c>
      <c r="J12" s="3">
        <f t="shared" si="1"/>
        <v>3</v>
      </c>
      <c r="K12" s="35">
        <v>25</v>
      </c>
      <c r="L12" s="35">
        <f t="shared" si="2"/>
        <v>24</v>
      </c>
      <c r="M12" s="35">
        <v>23</v>
      </c>
      <c r="N12" s="35">
        <v>27</v>
      </c>
      <c r="O12" s="35">
        <v>21</v>
      </c>
      <c r="P12" s="35">
        <v>29</v>
      </c>
    </row>
    <row r="13" spans="1:17" ht="20.149999999999999" customHeight="1" x14ac:dyDescent="0.45">
      <c r="A13" s="22">
        <v>4</v>
      </c>
      <c r="B13" s="21">
        <v>44653</v>
      </c>
      <c r="C13" s="21" t="s">
        <v>60</v>
      </c>
      <c r="D13" s="22" t="s">
        <v>28</v>
      </c>
      <c r="E13" s="23">
        <v>24</v>
      </c>
      <c r="F13" s="23">
        <f t="shared" si="0"/>
        <v>-1</v>
      </c>
      <c r="G13" s="27" t="s">
        <v>9</v>
      </c>
      <c r="H13" s="24" t="s">
        <v>17</v>
      </c>
      <c r="J13" s="3">
        <f t="shared" si="1"/>
        <v>4</v>
      </c>
      <c r="K13" s="35">
        <v>25</v>
      </c>
      <c r="L13" s="35">
        <f t="shared" si="2"/>
        <v>24</v>
      </c>
      <c r="M13" s="35">
        <v>23</v>
      </c>
      <c r="N13" s="35">
        <v>27</v>
      </c>
      <c r="O13" s="35">
        <v>21</v>
      </c>
      <c r="P13" s="35">
        <v>29</v>
      </c>
    </row>
    <row r="14" spans="1:17" ht="20.149999999999999" customHeight="1" x14ac:dyDescent="0.45">
      <c r="A14" s="22">
        <v>5</v>
      </c>
      <c r="B14" s="21">
        <v>44655</v>
      </c>
      <c r="C14" s="21" t="s">
        <v>61</v>
      </c>
      <c r="D14" s="22" t="s">
        <v>27</v>
      </c>
      <c r="E14" s="23">
        <v>24</v>
      </c>
      <c r="F14" s="23">
        <f t="shared" si="0"/>
        <v>-1</v>
      </c>
      <c r="G14" s="27" t="s">
        <v>9</v>
      </c>
      <c r="H14" s="24" t="s">
        <v>17</v>
      </c>
      <c r="J14" s="3">
        <f t="shared" si="1"/>
        <v>5</v>
      </c>
      <c r="K14" s="35">
        <v>25</v>
      </c>
      <c r="L14" s="35">
        <f t="shared" si="2"/>
        <v>24</v>
      </c>
      <c r="M14" s="35">
        <v>23</v>
      </c>
      <c r="N14" s="35">
        <v>27</v>
      </c>
      <c r="O14" s="35">
        <v>21</v>
      </c>
      <c r="P14" s="35">
        <v>29</v>
      </c>
    </row>
    <row r="15" spans="1:17" ht="20.149999999999999" customHeight="1" x14ac:dyDescent="0.45">
      <c r="A15" s="22">
        <v>6</v>
      </c>
      <c r="B15" s="21">
        <v>44655</v>
      </c>
      <c r="C15" s="21" t="s">
        <v>52</v>
      </c>
      <c r="D15" s="22" t="s">
        <v>28</v>
      </c>
      <c r="E15" s="23">
        <v>24</v>
      </c>
      <c r="F15" s="23">
        <f t="shared" si="0"/>
        <v>-1</v>
      </c>
      <c r="G15" s="27" t="s">
        <v>9</v>
      </c>
      <c r="H15" s="24" t="s">
        <v>17</v>
      </c>
      <c r="J15" s="3">
        <f t="shared" si="1"/>
        <v>6</v>
      </c>
      <c r="K15" s="35">
        <v>25</v>
      </c>
      <c r="L15" s="35">
        <f t="shared" si="2"/>
        <v>24</v>
      </c>
      <c r="M15" s="35">
        <v>23</v>
      </c>
      <c r="N15" s="35">
        <v>27</v>
      </c>
      <c r="O15" s="35">
        <v>21</v>
      </c>
      <c r="P15" s="35">
        <v>29</v>
      </c>
    </row>
    <row r="16" spans="1:17" ht="20.149999999999999" customHeight="1" x14ac:dyDescent="0.45">
      <c r="A16" s="22">
        <v>7</v>
      </c>
      <c r="B16" s="21">
        <v>44656</v>
      </c>
      <c r="C16" s="21" t="s">
        <v>62</v>
      </c>
      <c r="D16" s="22" t="s">
        <v>27</v>
      </c>
      <c r="E16" s="23">
        <v>25</v>
      </c>
      <c r="F16" s="23">
        <f t="shared" si="0"/>
        <v>0</v>
      </c>
      <c r="G16" s="27" t="s">
        <v>9</v>
      </c>
      <c r="H16" s="24" t="s">
        <v>17</v>
      </c>
      <c r="J16" s="3">
        <f t="shared" si="1"/>
        <v>7</v>
      </c>
      <c r="K16" s="35">
        <v>25</v>
      </c>
      <c r="L16" s="35">
        <f t="shared" si="2"/>
        <v>25</v>
      </c>
      <c r="M16" s="35">
        <v>23</v>
      </c>
      <c r="N16" s="35">
        <v>27</v>
      </c>
      <c r="O16" s="35">
        <v>21</v>
      </c>
      <c r="P16" s="35">
        <v>29</v>
      </c>
    </row>
    <row r="17" spans="1:16" ht="20.149999999999999" customHeight="1" x14ac:dyDescent="0.45">
      <c r="A17" s="22">
        <v>8</v>
      </c>
      <c r="B17" s="21">
        <v>44656</v>
      </c>
      <c r="C17" s="21" t="s">
        <v>62</v>
      </c>
      <c r="D17" s="22" t="s">
        <v>28</v>
      </c>
      <c r="E17" s="23">
        <v>25</v>
      </c>
      <c r="F17" s="23">
        <f t="shared" si="0"/>
        <v>0</v>
      </c>
      <c r="G17" s="27" t="s">
        <v>9</v>
      </c>
      <c r="H17" s="24" t="s">
        <v>17</v>
      </c>
      <c r="J17" s="3">
        <f t="shared" si="1"/>
        <v>8</v>
      </c>
      <c r="K17" s="35">
        <v>25</v>
      </c>
      <c r="L17" s="35">
        <f t="shared" si="2"/>
        <v>25</v>
      </c>
      <c r="M17" s="35">
        <v>23</v>
      </c>
      <c r="N17" s="35">
        <v>27</v>
      </c>
      <c r="O17" s="35">
        <v>21</v>
      </c>
      <c r="P17" s="35">
        <v>29</v>
      </c>
    </row>
    <row r="18" spans="1:16" ht="20.149999999999999" customHeight="1" x14ac:dyDescent="0.45">
      <c r="A18" s="22">
        <v>9</v>
      </c>
      <c r="B18" s="21">
        <v>44657</v>
      </c>
      <c r="C18" s="21" t="s">
        <v>63</v>
      </c>
      <c r="D18" s="22" t="s">
        <v>27</v>
      </c>
      <c r="E18" s="23">
        <v>23</v>
      </c>
      <c r="F18" s="23">
        <f t="shared" si="0"/>
        <v>-2</v>
      </c>
      <c r="G18" s="27" t="s">
        <v>9</v>
      </c>
      <c r="H18" s="24" t="s">
        <v>17</v>
      </c>
      <c r="J18" s="3">
        <f t="shared" si="1"/>
        <v>9</v>
      </c>
      <c r="K18" s="35">
        <v>25</v>
      </c>
      <c r="L18" s="35">
        <f t="shared" si="2"/>
        <v>23</v>
      </c>
      <c r="M18" s="35">
        <v>23</v>
      </c>
      <c r="N18" s="35">
        <v>27</v>
      </c>
      <c r="O18" s="35">
        <v>21</v>
      </c>
      <c r="P18" s="35">
        <v>29</v>
      </c>
    </row>
    <row r="19" spans="1:16" ht="20.149999999999999" customHeight="1" x14ac:dyDescent="0.45">
      <c r="A19" s="22">
        <v>10</v>
      </c>
      <c r="B19" s="21">
        <v>44657</v>
      </c>
      <c r="C19" s="21" t="s">
        <v>63</v>
      </c>
      <c r="D19" s="22" t="s">
        <v>28</v>
      </c>
      <c r="E19" s="23">
        <v>23</v>
      </c>
      <c r="F19" s="23">
        <f t="shared" si="0"/>
        <v>-2</v>
      </c>
      <c r="G19" s="27" t="s">
        <v>9</v>
      </c>
      <c r="H19" s="24" t="s">
        <v>17</v>
      </c>
      <c r="J19" s="3">
        <f t="shared" si="1"/>
        <v>10</v>
      </c>
      <c r="K19" s="35">
        <v>25</v>
      </c>
      <c r="L19" s="35">
        <f t="shared" si="2"/>
        <v>23</v>
      </c>
      <c r="M19" s="35">
        <v>23</v>
      </c>
      <c r="N19" s="35">
        <v>27</v>
      </c>
      <c r="O19" s="35">
        <v>21</v>
      </c>
      <c r="P19" s="35">
        <v>29</v>
      </c>
    </row>
    <row r="20" spans="1:16" ht="18" customHeight="1" x14ac:dyDescent="0.45">
      <c r="A20" s="22">
        <v>11</v>
      </c>
      <c r="B20" s="21">
        <v>44658</v>
      </c>
      <c r="C20" s="21" t="s">
        <v>66</v>
      </c>
      <c r="D20" s="22" t="s">
        <v>27</v>
      </c>
      <c r="E20" s="23">
        <v>25</v>
      </c>
      <c r="F20" s="23">
        <f t="shared" si="0"/>
        <v>0</v>
      </c>
      <c r="G20" s="27" t="s">
        <v>9</v>
      </c>
      <c r="H20" s="24" t="s">
        <v>17</v>
      </c>
      <c r="J20" s="3">
        <f t="shared" si="1"/>
        <v>11</v>
      </c>
      <c r="K20" s="35">
        <v>25</v>
      </c>
      <c r="L20" s="35">
        <f t="shared" si="2"/>
        <v>25</v>
      </c>
      <c r="M20" s="35">
        <v>23</v>
      </c>
      <c r="N20" s="35">
        <v>27</v>
      </c>
      <c r="O20" s="35">
        <v>21</v>
      </c>
      <c r="P20" s="35">
        <v>29</v>
      </c>
    </row>
    <row r="21" spans="1:16" ht="18" customHeight="1" x14ac:dyDescent="0.45">
      <c r="A21" s="22">
        <v>12</v>
      </c>
      <c r="B21" s="21">
        <v>44658</v>
      </c>
      <c r="C21" s="21" t="s">
        <v>66</v>
      </c>
      <c r="D21" s="22" t="s">
        <v>53</v>
      </c>
      <c r="E21" s="23">
        <v>25</v>
      </c>
      <c r="F21" s="23">
        <f t="shared" si="0"/>
        <v>0</v>
      </c>
      <c r="G21" s="27" t="s">
        <v>9</v>
      </c>
      <c r="H21" s="24" t="s">
        <v>17</v>
      </c>
      <c r="J21" s="3">
        <f t="shared" si="1"/>
        <v>12</v>
      </c>
      <c r="K21" s="35">
        <v>25</v>
      </c>
      <c r="L21" s="35">
        <f t="shared" si="2"/>
        <v>25</v>
      </c>
      <c r="M21" s="35">
        <v>23</v>
      </c>
      <c r="N21" s="35">
        <v>27</v>
      </c>
      <c r="O21" s="35">
        <v>21</v>
      </c>
      <c r="P21" s="35">
        <v>29</v>
      </c>
    </row>
    <row r="22" spans="1:16" ht="20.149999999999999" customHeight="1" x14ac:dyDescent="0.45">
      <c r="A22" s="22">
        <v>13</v>
      </c>
      <c r="B22" s="21">
        <v>44659</v>
      </c>
      <c r="C22" s="21" t="s">
        <v>59</v>
      </c>
      <c r="D22" s="22" t="s">
        <v>27</v>
      </c>
      <c r="E22" s="23">
        <v>24</v>
      </c>
      <c r="F22" s="23">
        <f t="shared" si="0"/>
        <v>-1</v>
      </c>
      <c r="G22" s="27" t="s">
        <v>9</v>
      </c>
      <c r="H22" s="24" t="s">
        <v>17</v>
      </c>
      <c r="J22" s="3">
        <f t="shared" si="1"/>
        <v>13</v>
      </c>
      <c r="K22" s="35">
        <v>25</v>
      </c>
      <c r="L22" s="35">
        <f t="shared" si="2"/>
        <v>24</v>
      </c>
      <c r="M22" s="35">
        <v>23</v>
      </c>
      <c r="N22" s="35">
        <v>27</v>
      </c>
      <c r="O22" s="35">
        <v>21</v>
      </c>
      <c r="P22" s="35">
        <v>29</v>
      </c>
    </row>
    <row r="23" spans="1:16" ht="20.149999999999999" customHeight="1" x14ac:dyDescent="0.45">
      <c r="A23" s="22">
        <v>14</v>
      </c>
      <c r="B23" s="21">
        <v>44659</v>
      </c>
      <c r="C23" s="21" t="s">
        <v>59</v>
      </c>
      <c r="D23" s="22" t="s">
        <v>28</v>
      </c>
      <c r="E23" s="23">
        <v>24</v>
      </c>
      <c r="F23" s="23">
        <f t="shared" si="0"/>
        <v>-1</v>
      </c>
      <c r="G23" s="27" t="s">
        <v>9</v>
      </c>
      <c r="H23" s="24" t="s">
        <v>17</v>
      </c>
      <c r="J23" s="3">
        <f t="shared" si="1"/>
        <v>14</v>
      </c>
      <c r="K23" s="35">
        <v>25</v>
      </c>
      <c r="L23" s="35">
        <f t="shared" si="2"/>
        <v>24</v>
      </c>
      <c r="M23" s="35">
        <v>23</v>
      </c>
      <c r="N23" s="35">
        <v>27</v>
      </c>
      <c r="O23" s="35">
        <v>21</v>
      </c>
      <c r="P23" s="35">
        <v>29</v>
      </c>
    </row>
    <row r="24" spans="1:16" ht="20.149999999999999" customHeight="1" x14ac:dyDescent="0.45">
      <c r="A24" s="22">
        <v>15</v>
      </c>
      <c r="B24" s="21">
        <v>44660</v>
      </c>
      <c r="C24" s="21" t="s">
        <v>60</v>
      </c>
      <c r="D24" s="22" t="s">
        <v>27</v>
      </c>
      <c r="E24" s="23">
        <v>23</v>
      </c>
      <c r="F24" s="23">
        <f t="shared" si="0"/>
        <v>-2</v>
      </c>
      <c r="G24" s="27" t="s">
        <v>9</v>
      </c>
      <c r="H24" s="24" t="s">
        <v>17</v>
      </c>
      <c r="J24" s="3">
        <f t="shared" si="1"/>
        <v>15</v>
      </c>
      <c r="K24" s="35">
        <v>25</v>
      </c>
      <c r="L24" s="35">
        <f t="shared" si="2"/>
        <v>23</v>
      </c>
      <c r="M24" s="35">
        <v>23</v>
      </c>
      <c r="N24" s="35">
        <v>27</v>
      </c>
      <c r="O24" s="35">
        <v>21</v>
      </c>
      <c r="P24" s="35">
        <v>29</v>
      </c>
    </row>
    <row r="25" spans="1:16" ht="20.149999999999999" customHeight="1" x14ac:dyDescent="0.45">
      <c r="A25" s="22">
        <v>16</v>
      </c>
      <c r="B25" s="21">
        <v>44660</v>
      </c>
      <c r="C25" s="21" t="s">
        <v>60</v>
      </c>
      <c r="D25" s="22" t="s">
        <v>28</v>
      </c>
      <c r="E25" s="23">
        <v>23</v>
      </c>
      <c r="F25" s="23">
        <f t="shared" si="0"/>
        <v>-2</v>
      </c>
      <c r="G25" s="27" t="s">
        <v>9</v>
      </c>
      <c r="H25" s="24" t="s">
        <v>17</v>
      </c>
      <c r="J25" s="3">
        <f t="shared" si="1"/>
        <v>16</v>
      </c>
      <c r="K25" s="35">
        <v>25</v>
      </c>
      <c r="L25" s="35">
        <f t="shared" si="2"/>
        <v>23</v>
      </c>
      <c r="M25" s="35">
        <v>23</v>
      </c>
      <c r="N25" s="35">
        <v>27</v>
      </c>
      <c r="O25" s="35">
        <v>21</v>
      </c>
      <c r="P25" s="35">
        <v>29</v>
      </c>
    </row>
    <row r="26" spans="1:16" ht="20.149999999999999" customHeight="1" x14ac:dyDescent="0.45">
      <c r="A26" s="22">
        <v>17</v>
      </c>
      <c r="B26" s="21">
        <v>44662</v>
      </c>
      <c r="C26" s="21" t="s">
        <v>61</v>
      </c>
      <c r="D26" s="22" t="s">
        <v>27</v>
      </c>
      <c r="E26" s="23">
        <v>25</v>
      </c>
      <c r="F26" s="23">
        <f t="shared" si="0"/>
        <v>0</v>
      </c>
      <c r="G26" s="27" t="s">
        <v>9</v>
      </c>
      <c r="H26" s="24" t="s">
        <v>17</v>
      </c>
      <c r="J26" s="3">
        <f t="shared" si="1"/>
        <v>17</v>
      </c>
      <c r="K26" s="35">
        <v>25</v>
      </c>
      <c r="L26" s="35">
        <f t="shared" si="2"/>
        <v>25</v>
      </c>
      <c r="M26" s="35">
        <v>23</v>
      </c>
      <c r="N26" s="35">
        <v>27</v>
      </c>
      <c r="O26" s="35">
        <v>21</v>
      </c>
      <c r="P26" s="35">
        <v>29</v>
      </c>
    </row>
    <row r="27" spans="1:16" ht="20.149999999999999" customHeight="1" x14ac:dyDescent="0.45">
      <c r="A27" s="22">
        <v>18</v>
      </c>
      <c r="B27" s="21">
        <v>44662</v>
      </c>
      <c r="C27" s="21" t="s">
        <v>61</v>
      </c>
      <c r="D27" s="22" t="s">
        <v>28</v>
      </c>
      <c r="E27" s="23">
        <v>25</v>
      </c>
      <c r="F27" s="23">
        <f t="shared" si="0"/>
        <v>0</v>
      </c>
      <c r="G27" s="27" t="s">
        <v>9</v>
      </c>
      <c r="H27" s="24" t="s">
        <v>17</v>
      </c>
      <c r="J27" s="3">
        <f t="shared" si="1"/>
        <v>18</v>
      </c>
      <c r="K27" s="35">
        <v>25</v>
      </c>
      <c r="L27" s="35">
        <f t="shared" si="2"/>
        <v>25</v>
      </c>
      <c r="M27" s="35">
        <v>23</v>
      </c>
      <c r="N27" s="35">
        <v>27</v>
      </c>
      <c r="O27" s="35">
        <v>21</v>
      </c>
      <c r="P27" s="35">
        <v>29</v>
      </c>
    </row>
    <row r="28" spans="1:16" ht="20.149999999999999" customHeight="1" x14ac:dyDescent="0.45">
      <c r="A28" s="22">
        <v>19</v>
      </c>
      <c r="B28" s="21">
        <v>44663</v>
      </c>
      <c r="C28" s="21" t="s">
        <v>62</v>
      </c>
      <c r="D28" s="22" t="s">
        <v>27</v>
      </c>
      <c r="E28" s="23">
        <v>24</v>
      </c>
      <c r="F28" s="23">
        <f t="shared" si="0"/>
        <v>-1</v>
      </c>
      <c r="G28" s="27" t="s">
        <v>9</v>
      </c>
      <c r="H28" s="24" t="s">
        <v>17</v>
      </c>
      <c r="J28" s="3">
        <f t="shared" si="1"/>
        <v>19</v>
      </c>
      <c r="K28" s="35">
        <v>25</v>
      </c>
      <c r="L28" s="35">
        <f t="shared" si="2"/>
        <v>24</v>
      </c>
      <c r="M28" s="35">
        <v>23</v>
      </c>
      <c r="N28" s="35">
        <v>27</v>
      </c>
      <c r="O28" s="35">
        <v>21</v>
      </c>
      <c r="P28" s="35">
        <v>29</v>
      </c>
    </row>
    <row r="29" spans="1:16" ht="20.149999999999999" customHeight="1" x14ac:dyDescent="0.45">
      <c r="A29" s="22">
        <v>20</v>
      </c>
      <c r="B29" s="21">
        <v>44663</v>
      </c>
      <c r="C29" s="21" t="s">
        <v>62</v>
      </c>
      <c r="D29" s="22" t="s">
        <v>28</v>
      </c>
      <c r="E29" s="23">
        <v>24</v>
      </c>
      <c r="F29" s="23">
        <f t="shared" si="0"/>
        <v>-1</v>
      </c>
      <c r="G29" s="27" t="s">
        <v>9</v>
      </c>
      <c r="H29" s="24" t="s">
        <v>17</v>
      </c>
      <c r="J29" s="3">
        <f t="shared" si="1"/>
        <v>20</v>
      </c>
      <c r="K29" s="35">
        <v>25</v>
      </c>
      <c r="L29" s="35">
        <f t="shared" si="2"/>
        <v>24</v>
      </c>
      <c r="M29" s="35">
        <v>23</v>
      </c>
      <c r="N29" s="35">
        <v>27</v>
      </c>
      <c r="O29" s="35">
        <v>21</v>
      </c>
      <c r="P29" s="35">
        <v>29</v>
      </c>
    </row>
    <row r="30" spans="1:16" ht="20.149999999999999" customHeight="1" x14ac:dyDescent="0.45">
      <c r="A30" s="22">
        <v>21</v>
      </c>
      <c r="B30" s="21">
        <v>44664</v>
      </c>
      <c r="C30" s="21" t="s">
        <v>63</v>
      </c>
      <c r="D30" s="22" t="s">
        <v>27</v>
      </c>
      <c r="E30" s="23">
        <v>25</v>
      </c>
      <c r="F30" s="23">
        <f t="shared" si="0"/>
        <v>0</v>
      </c>
      <c r="G30" s="27" t="s">
        <v>9</v>
      </c>
      <c r="H30" s="24" t="s">
        <v>17</v>
      </c>
      <c r="J30" s="3">
        <f t="shared" si="1"/>
        <v>21</v>
      </c>
      <c r="K30" s="35">
        <v>25</v>
      </c>
      <c r="L30" s="35">
        <f t="shared" si="2"/>
        <v>25</v>
      </c>
      <c r="M30" s="35">
        <v>23</v>
      </c>
      <c r="N30" s="35">
        <v>27</v>
      </c>
      <c r="O30" s="35">
        <v>21</v>
      </c>
      <c r="P30" s="35">
        <v>29</v>
      </c>
    </row>
    <row r="31" spans="1:16" ht="20.149999999999999" customHeight="1" x14ac:dyDescent="0.45">
      <c r="A31" s="22">
        <v>22</v>
      </c>
      <c r="B31" s="21">
        <v>44664</v>
      </c>
      <c r="C31" s="21" t="s">
        <v>63</v>
      </c>
      <c r="D31" s="22" t="s">
        <v>28</v>
      </c>
      <c r="E31" s="23">
        <v>25</v>
      </c>
      <c r="F31" s="23">
        <f t="shared" si="0"/>
        <v>0</v>
      </c>
      <c r="G31" s="27" t="s">
        <v>9</v>
      </c>
      <c r="H31" s="24" t="s">
        <v>17</v>
      </c>
      <c r="J31" s="3">
        <f t="shared" si="1"/>
        <v>22</v>
      </c>
      <c r="K31" s="35">
        <v>25</v>
      </c>
      <c r="L31" s="35">
        <f t="shared" si="2"/>
        <v>25</v>
      </c>
      <c r="M31" s="35">
        <v>23</v>
      </c>
      <c r="N31" s="35">
        <v>27</v>
      </c>
      <c r="O31" s="35">
        <v>21</v>
      </c>
      <c r="P31" s="35">
        <v>29</v>
      </c>
    </row>
    <row r="32" spans="1:16" ht="20.149999999999999" customHeight="1" x14ac:dyDescent="0.45">
      <c r="A32" s="22">
        <v>23</v>
      </c>
      <c r="B32" s="21">
        <v>44665</v>
      </c>
      <c r="C32" s="21" t="s">
        <v>64</v>
      </c>
      <c r="D32" s="22" t="s">
        <v>27</v>
      </c>
      <c r="E32" s="23">
        <v>26</v>
      </c>
      <c r="F32" s="23">
        <f t="shared" si="0"/>
        <v>1</v>
      </c>
      <c r="G32" s="27" t="s">
        <v>9</v>
      </c>
      <c r="H32" s="24" t="s">
        <v>17</v>
      </c>
      <c r="J32" s="3">
        <f t="shared" si="1"/>
        <v>23</v>
      </c>
      <c r="K32" s="35">
        <v>25</v>
      </c>
      <c r="L32" s="35">
        <f t="shared" si="2"/>
        <v>26</v>
      </c>
      <c r="M32" s="35">
        <v>23</v>
      </c>
      <c r="N32" s="35">
        <v>27</v>
      </c>
      <c r="O32" s="35">
        <v>21</v>
      </c>
      <c r="P32" s="35">
        <v>29</v>
      </c>
    </row>
    <row r="33" spans="1:16" ht="20.149999999999999" customHeight="1" x14ac:dyDescent="0.45">
      <c r="A33" s="22">
        <v>24</v>
      </c>
      <c r="B33" s="21">
        <v>44665</v>
      </c>
      <c r="C33" s="21" t="s">
        <v>64</v>
      </c>
      <c r="D33" s="22" t="s">
        <v>28</v>
      </c>
      <c r="E33" s="23">
        <v>26</v>
      </c>
      <c r="F33" s="23">
        <f t="shared" si="0"/>
        <v>1</v>
      </c>
      <c r="G33" s="27" t="s">
        <v>9</v>
      </c>
      <c r="H33" s="24" t="s">
        <v>17</v>
      </c>
      <c r="J33" s="3">
        <f t="shared" si="1"/>
        <v>24</v>
      </c>
      <c r="K33" s="35">
        <v>25</v>
      </c>
      <c r="L33" s="35">
        <f t="shared" si="2"/>
        <v>26</v>
      </c>
      <c r="M33" s="35">
        <v>23</v>
      </c>
      <c r="N33" s="35">
        <v>27</v>
      </c>
      <c r="O33" s="35">
        <v>21</v>
      </c>
      <c r="P33" s="35">
        <v>29</v>
      </c>
    </row>
    <row r="34" spans="1:16" ht="20.149999999999999" customHeight="1" x14ac:dyDescent="0.45">
      <c r="A34" s="22">
        <v>25</v>
      </c>
      <c r="B34" s="21">
        <v>44666</v>
      </c>
      <c r="C34" s="21" t="s">
        <v>59</v>
      </c>
      <c r="D34" s="22" t="s">
        <v>27</v>
      </c>
      <c r="E34" s="23">
        <v>23</v>
      </c>
      <c r="F34" s="23">
        <f t="shared" si="0"/>
        <v>-2</v>
      </c>
      <c r="G34" s="27" t="s">
        <v>9</v>
      </c>
      <c r="H34" s="24" t="s">
        <v>17</v>
      </c>
      <c r="J34" s="3">
        <f t="shared" si="1"/>
        <v>25</v>
      </c>
      <c r="K34" s="35">
        <v>25</v>
      </c>
      <c r="L34" s="35">
        <f t="shared" si="2"/>
        <v>23</v>
      </c>
      <c r="M34" s="35">
        <v>23</v>
      </c>
      <c r="N34" s="35">
        <v>27</v>
      </c>
      <c r="O34" s="35">
        <v>21</v>
      </c>
      <c r="P34" s="35">
        <v>29</v>
      </c>
    </row>
    <row r="35" spans="1:16" ht="20.149999999999999" customHeight="1" x14ac:dyDescent="0.45">
      <c r="A35" s="32">
        <v>26</v>
      </c>
      <c r="B35" s="21">
        <v>44666</v>
      </c>
      <c r="C35" s="21" t="s">
        <v>59</v>
      </c>
      <c r="D35" s="22" t="s">
        <v>28</v>
      </c>
      <c r="E35" s="23">
        <v>23</v>
      </c>
      <c r="F35" s="23">
        <f t="shared" si="0"/>
        <v>-2</v>
      </c>
      <c r="G35" s="27" t="s">
        <v>9</v>
      </c>
      <c r="H35" s="24" t="s">
        <v>17</v>
      </c>
      <c r="J35" s="3">
        <f t="shared" si="1"/>
        <v>26</v>
      </c>
      <c r="K35" s="35">
        <v>25</v>
      </c>
      <c r="L35" s="35">
        <f t="shared" si="2"/>
        <v>23</v>
      </c>
      <c r="M35" s="35">
        <v>23</v>
      </c>
      <c r="N35" s="35">
        <v>27</v>
      </c>
      <c r="O35" s="35">
        <v>21</v>
      </c>
      <c r="P35" s="35">
        <v>29</v>
      </c>
    </row>
    <row r="36" spans="1:16" s="34" customFormat="1" ht="20.149999999999999" customHeight="1" x14ac:dyDescent="0.45">
      <c r="A36" s="21" t="s">
        <v>54</v>
      </c>
      <c r="B36" s="47">
        <f>AVERAGE(E10:E35)</f>
        <v>24.307692307692307</v>
      </c>
      <c r="C36" s="21" t="s">
        <v>55</v>
      </c>
      <c r="D36" s="48">
        <v>25</v>
      </c>
      <c r="E36" s="23" t="s">
        <v>56</v>
      </c>
      <c r="F36" s="48">
        <v>23</v>
      </c>
      <c r="G36" s="48"/>
      <c r="H36" s="24" t="s">
        <v>17</v>
      </c>
      <c r="K36" s="35"/>
      <c r="L36" s="35"/>
      <c r="M36" s="35"/>
      <c r="N36" s="35"/>
      <c r="O36" s="35"/>
      <c r="P36" s="35"/>
    </row>
    <row r="37" spans="1:16" ht="52.5" customHeight="1" x14ac:dyDescent="0.45">
      <c r="A37" s="29" t="s">
        <v>10</v>
      </c>
      <c r="B37" s="30"/>
      <c r="C37" s="30"/>
      <c r="D37" s="31"/>
      <c r="E37" s="31"/>
      <c r="F37" s="31"/>
      <c r="G37" s="31"/>
      <c r="H37" s="31"/>
    </row>
    <row r="38" spans="1:16" ht="20.149999999999999" customHeight="1" x14ac:dyDescent="0.45">
      <c r="A38" s="30"/>
      <c r="B38" s="30"/>
      <c r="C38" s="30"/>
      <c r="D38" s="49" t="s">
        <v>1</v>
      </c>
      <c r="E38" s="30"/>
      <c r="F38" s="30"/>
      <c r="G38" s="49" t="s">
        <v>2</v>
      </c>
      <c r="H38" s="49" t="s">
        <v>3</v>
      </c>
    </row>
    <row r="39" spans="1:16" ht="23.25" customHeight="1" x14ac:dyDescent="0.45"/>
    <row r="40" spans="1:16" x14ac:dyDescent="0.45">
      <c r="A40" s="18" t="s">
        <v>16</v>
      </c>
      <c r="E40" s="19"/>
      <c r="F40" s="19"/>
    </row>
    <row r="41" spans="1:16" x14ac:dyDescent="0.45">
      <c r="D41" s="20" t="s">
        <v>1</v>
      </c>
      <c r="G41" s="20" t="s">
        <v>2</v>
      </c>
      <c r="H41" s="20" t="s">
        <v>3</v>
      </c>
    </row>
    <row r="43" spans="1:16" x14ac:dyDescent="0.45">
      <c r="A43" s="18" t="s">
        <v>20</v>
      </c>
      <c r="D43" s="19"/>
      <c r="E43" s="19"/>
      <c r="F43" s="19"/>
      <c r="G43" s="19"/>
      <c r="H43" s="19"/>
    </row>
    <row r="44" spans="1:16" ht="51" customHeight="1" x14ac:dyDescent="0.45">
      <c r="D44" s="19"/>
      <c r="E44" s="19"/>
      <c r="F44" s="19"/>
      <c r="G44" s="19"/>
      <c r="H44" s="19"/>
    </row>
    <row r="45" spans="1:16" ht="57" customHeight="1" x14ac:dyDescent="0.45">
      <c r="D45" s="19"/>
      <c r="E45" s="19"/>
      <c r="F45" s="19"/>
    </row>
    <row r="46" spans="1:16" x14ac:dyDescent="0.45">
      <c r="G46" s="20" t="s">
        <v>2</v>
      </c>
      <c r="H46" s="20" t="s">
        <v>3</v>
      </c>
    </row>
    <row r="47" spans="1:16" ht="8.25" customHeight="1" thickBot="1" x14ac:dyDescent="0.5"/>
    <row r="48" spans="1:16" ht="16.5" hidden="1" thickBot="1" x14ac:dyDescent="0.5">
      <c r="B48" s="43" t="s">
        <v>48</v>
      </c>
    </row>
    <row r="49" spans="1:8" s="41" customFormat="1" ht="16.5" hidden="1" thickBot="1" x14ac:dyDescent="0.5">
      <c r="B49" s="34"/>
    </row>
    <row r="50" spans="1:8" s="41" customFormat="1" x14ac:dyDescent="0.45">
      <c r="A50" s="42" t="s">
        <v>47</v>
      </c>
      <c r="B50" s="34"/>
      <c r="C50" s="43"/>
      <c r="D50" s="44" t="s">
        <v>49</v>
      </c>
      <c r="E50" s="43">
        <v>0</v>
      </c>
      <c r="F50" s="44" t="s">
        <v>50</v>
      </c>
      <c r="G50" s="45">
        <v>43836</v>
      </c>
      <c r="H50" s="46" t="s">
        <v>0</v>
      </c>
    </row>
  </sheetData>
  <mergeCells count="1">
    <mergeCell ref="D1:F1"/>
  </mergeCells>
  <printOptions horizontalCentered="1" verticalCentered="1"/>
  <pageMargins left="0.7" right="0.7" top="0.75" bottom="0.75" header="0.3" footer="0.3"/>
  <pageSetup paperSize="9" scale="55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"/>
  <sheetViews>
    <sheetView tabSelected="1" topLeftCell="A5" zoomScaleNormal="100" zoomScaleSheetLayoutView="100" workbookViewId="0">
      <selection activeCell="B7" sqref="B7"/>
    </sheetView>
  </sheetViews>
  <sheetFormatPr defaultColWidth="9.1796875" defaultRowHeight="16" x14ac:dyDescent="0.45"/>
  <cols>
    <col min="1" max="1" width="16.81640625" style="3" customWidth="1"/>
    <col min="2" max="2" width="15.81640625" style="34" customWidth="1"/>
    <col min="3" max="3" width="15.54296875" style="34" customWidth="1"/>
    <col min="4" max="4" width="15.26953125" style="3" customWidth="1"/>
    <col min="5" max="5" width="15.7265625" style="3" customWidth="1"/>
    <col min="6" max="6" width="15.453125" style="3" customWidth="1"/>
    <col min="7" max="7" width="15.26953125" style="3" customWidth="1"/>
    <col min="8" max="8" width="18.453125" style="3" customWidth="1"/>
    <col min="9" max="9" width="16.1796875" style="3" customWidth="1"/>
    <col min="10" max="16384" width="9.1796875" style="3"/>
  </cols>
  <sheetData>
    <row r="1" spans="1:16" s="41" customFormat="1" ht="21" customHeight="1" x14ac:dyDescent="0.45">
      <c r="A1" s="37"/>
      <c r="B1" s="53"/>
      <c r="C1" s="53"/>
      <c r="D1" s="54" t="s">
        <v>4</v>
      </c>
      <c r="E1" s="54"/>
      <c r="F1" s="54"/>
      <c r="G1" s="39"/>
      <c r="H1" s="40"/>
    </row>
    <row r="2" spans="1:16" x14ac:dyDescent="0.45">
      <c r="A2" s="6"/>
      <c r="B2" s="5"/>
      <c r="C2" s="5"/>
    </row>
    <row r="3" spans="1:16" ht="19.5" customHeight="1" x14ac:dyDescent="0.45">
      <c r="A3" s="7" t="s">
        <v>5</v>
      </c>
      <c r="B3" s="2"/>
      <c r="C3" s="4"/>
      <c r="D3" s="4" t="s">
        <v>30</v>
      </c>
      <c r="E3" s="2"/>
      <c r="F3" s="7" t="s">
        <v>22</v>
      </c>
      <c r="G3" s="8" t="s">
        <v>67</v>
      </c>
      <c r="H3" s="9"/>
    </row>
    <row r="4" spans="1:16" ht="21.75" customHeight="1" x14ac:dyDescent="0.45">
      <c r="A4" s="7" t="s">
        <v>18</v>
      </c>
      <c r="B4" s="2"/>
      <c r="C4" s="4"/>
      <c r="D4" s="4" t="s">
        <v>46</v>
      </c>
      <c r="E4" s="11"/>
      <c r="F4" s="12" t="s">
        <v>19</v>
      </c>
      <c r="G4" s="10" t="s">
        <v>24</v>
      </c>
      <c r="H4" s="9"/>
    </row>
    <row r="5" spans="1:16" ht="16.5" x14ac:dyDescent="0.45">
      <c r="A5" s="7" t="s">
        <v>31</v>
      </c>
      <c r="B5" s="2"/>
      <c r="C5" s="4"/>
      <c r="D5" s="28">
        <v>25</v>
      </c>
      <c r="E5" s="13"/>
      <c r="F5" s="12" t="s">
        <v>23</v>
      </c>
      <c r="G5" s="14" t="s">
        <v>44</v>
      </c>
      <c r="H5" s="13"/>
    </row>
    <row r="6" spans="1:16" ht="16.5" x14ac:dyDescent="0.45">
      <c r="A6" s="7" t="s">
        <v>32</v>
      </c>
      <c r="B6" s="2"/>
      <c r="C6" s="4"/>
      <c r="D6" s="28">
        <v>23</v>
      </c>
      <c r="E6" s="15"/>
      <c r="F6" s="12" t="s">
        <v>6</v>
      </c>
      <c r="G6" s="14" t="s">
        <v>33</v>
      </c>
      <c r="H6" s="15"/>
    </row>
    <row r="7" spans="1:16" ht="16.5" x14ac:dyDescent="0.45">
      <c r="A7" s="7" t="s">
        <v>34</v>
      </c>
      <c r="B7" s="2" t="s">
        <v>68</v>
      </c>
      <c r="C7" s="4"/>
      <c r="D7" s="28">
        <v>21</v>
      </c>
      <c r="E7" s="15"/>
      <c r="F7" s="12" t="s">
        <v>7</v>
      </c>
      <c r="G7" s="14" t="s">
        <v>35</v>
      </c>
      <c r="H7" s="15"/>
    </row>
    <row r="8" spans="1:16" ht="339.75" customHeight="1" x14ac:dyDescent="0.45">
      <c r="D8" s="16"/>
      <c r="F8" s="16"/>
    </row>
    <row r="9" spans="1:16" ht="46.5" customHeight="1" x14ac:dyDescent="0.45">
      <c r="A9" s="1" t="s">
        <v>29</v>
      </c>
      <c r="B9" s="1" t="s">
        <v>3</v>
      </c>
      <c r="C9" s="1" t="s">
        <v>51</v>
      </c>
      <c r="D9" s="1" t="s">
        <v>26</v>
      </c>
      <c r="E9" s="1" t="s">
        <v>36</v>
      </c>
      <c r="F9" s="1" t="s">
        <v>37</v>
      </c>
      <c r="G9" s="1" t="s">
        <v>8</v>
      </c>
      <c r="H9" s="1" t="s">
        <v>25</v>
      </c>
      <c r="J9" s="25" t="s">
        <v>15</v>
      </c>
      <c r="K9" s="26" t="s">
        <v>38</v>
      </c>
      <c r="L9" s="26" t="s">
        <v>39</v>
      </c>
      <c r="M9" s="26" t="s">
        <v>11</v>
      </c>
      <c r="N9" s="26" t="s">
        <v>12</v>
      </c>
      <c r="O9" s="26" t="s">
        <v>13</v>
      </c>
      <c r="P9" s="26" t="s">
        <v>14</v>
      </c>
    </row>
    <row r="10" spans="1:16" ht="20.149999999999999" customHeight="1" x14ac:dyDescent="0.45">
      <c r="A10" s="22">
        <v>1</v>
      </c>
      <c r="B10" s="21">
        <v>44652</v>
      </c>
      <c r="C10" s="21" t="s">
        <v>65</v>
      </c>
      <c r="D10" s="22" t="s">
        <v>27</v>
      </c>
      <c r="E10" s="23">
        <v>25</v>
      </c>
      <c r="F10" s="23">
        <f t="shared" ref="F10:F23" si="0">E10-$D$5</f>
        <v>0</v>
      </c>
      <c r="G10" s="27" t="s">
        <v>9</v>
      </c>
      <c r="H10" s="24" t="s">
        <v>17</v>
      </c>
      <c r="J10" s="3">
        <f t="shared" ref="J10:J35" si="1">A10</f>
        <v>1</v>
      </c>
      <c r="K10" s="17">
        <v>25</v>
      </c>
      <c r="L10" s="17">
        <f t="shared" ref="L10:L23" si="2">E10</f>
        <v>25</v>
      </c>
      <c r="M10" s="35">
        <v>23</v>
      </c>
      <c r="N10" s="35">
        <v>27</v>
      </c>
      <c r="O10" s="35">
        <v>21</v>
      </c>
      <c r="P10" s="35">
        <v>29</v>
      </c>
    </row>
    <row r="11" spans="1:16" ht="20.149999999999999" customHeight="1" x14ac:dyDescent="0.45">
      <c r="A11" s="22">
        <v>2</v>
      </c>
      <c r="B11" s="21">
        <v>44652</v>
      </c>
      <c r="C11" s="21" t="s">
        <v>65</v>
      </c>
      <c r="D11" s="22" t="s">
        <v>28</v>
      </c>
      <c r="E11" s="23">
        <v>25</v>
      </c>
      <c r="F11" s="23">
        <f t="shared" si="0"/>
        <v>0</v>
      </c>
      <c r="G11" s="27" t="s">
        <v>9</v>
      </c>
      <c r="H11" s="24" t="s">
        <v>17</v>
      </c>
      <c r="J11" s="3">
        <f t="shared" si="1"/>
        <v>2</v>
      </c>
      <c r="K11" s="17">
        <v>25</v>
      </c>
      <c r="L11" s="17">
        <f t="shared" si="2"/>
        <v>25</v>
      </c>
      <c r="M11" s="35">
        <v>23</v>
      </c>
      <c r="N11" s="35">
        <v>27</v>
      </c>
      <c r="O11" s="35">
        <v>21</v>
      </c>
      <c r="P11" s="35">
        <v>29</v>
      </c>
    </row>
    <row r="12" spans="1:16" ht="20.149999999999999" customHeight="1" x14ac:dyDescent="0.45">
      <c r="A12" s="22">
        <v>3</v>
      </c>
      <c r="B12" s="21">
        <v>44653</v>
      </c>
      <c r="C12" s="21" t="s">
        <v>60</v>
      </c>
      <c r="D12" s="22" t="s">
        <v>27</v>
      </c>
      <c r="E12" s="23">
        <v>23</v>
      </c>
      <c r="F12" s="23">
        <f t="shared" si="0"/>
        <v>-2</v>
      </c>
      <c r="G12" s="27" t="s">
        <v>9</v>
      </c>
      <c r="H12" s="24" t="s">
        <v>17</v>
      </c>
      <c r="J12" s="3">
        <f t="shared" si="1"/>
        <v>3</v>
      </c>
      <c r="K12" s="17">
        <v>25</v>
      </c>
      <c r="L12" s="17">
        <f t="shared" si="2"/>
        <v>23</v>
      </c>
      <c r="M12" s="35">
        <v>23</v>
      </c>
      <c r="N12" s="35">
        <v>27</v>
      </c>
      <c r="O12" s="35">
        <v>21</v>
      </c>
      <c r="P12" s="35">
        <v>29</v>
      </c>
    </row>
    <row r="13" spans="1:16" ht="20.149999999999999" customHeight="1" x14ac:dyDescent="0.45">
      <c r="A13" s="22">
        <v>4</v>
      </c>
      <c r="B13" s="21">
        <v>44653</v>
      </c>
      <c r="C13" s="21" t="s">
        <v>60</v>
      </c>
      <c r="D13" s="22" t="s">
        <v>28</v>
      </c>
      <c r="E13" s="23">
        <v>23</v>
      </c>
      <c r="F13" s="23">
        <f t="shared" si="0"/>
        <v>-2</v>
      </c>
      <c r="G13" s="27" t="s">
        <v>9</v>
      </c>
      <c r="H13" s="24" t="s">
        <v>17</v>
      </c>
      <c r="J13" s="3">
        <f t="shared" si="1"/>
        <v>4</v>
      </c>
      <c r="K13" s="17">
        <v>25</v>
      </c>
      <c r="L13" s="17">
        <f t="shared" si="2"/>
        <v>23</v>
      </c>
      <c r="M13" s="35">
        <v>23</v>
      </c>
      <c r="N13" s="35">
        <v>27</v>
      </c>
      <c r="O13" s="35">
        <v>21</v>
      </c>
      <c r="P13" s="35">
        <v>29</v>
      </c>
    </row>
    <row r="14" spans="1:16" ht="20.149999999999999" customHeight="1" x14ac:dyDescent="0.45">
      <c r="A14" s="22">
        <v>5</v>
      </c>
      <c r="B14" s="21">
        <v>44655</v>
      </c>
      <c r="C14" s="21" t="s">
        <v>61</v>
      </c>
      <c r="D14" s="22" t="s">
        <v>27</v>
      </c>
      <c r="E14" s="23">
        <v>24</v>
      </c>
      <c r="F14" s="23">
        <f t="shared" si="0"/>
        <v>-1</v>
      </c>
      <c r="G14" s="27" t="s">
        <v>9</v>
      </c>
      <c r="H14" s="24" t="s">
        <v>17</v>
      </c>
      <c r="J14" s="3">
        <f t="shared" si="1"/>
        <v>5</v>
      </c>
      <c r="K14" s="17">
        <v>25</v>
      </c>
      <c r="L14" s="17">
        <f t="shared" si="2"/>
        <v>24</v>
      </c>
      <c r="M14" s="35">
        <v>23</v>
      </c>
      <c r="N14" s="35">
        <v>27</v>
      </c>
      <c r="O14" s="35">
        <v>21</v>
      </c>
      <c r="P14" s="35">
        <v>29</v>
      </c>
    </row>
    <row r="15" spans="1:16" ht="20.149999999999999" customHeight="1" x14ac:dyDescent="0.45">
      <c r="A15" s="22">
        <v>6</v>
      </c>
      <c r="B15" s="21">
        <v>44655</v>
      </c>
      <c r="C15" s="21" t="s">
        <v>52</v>
      </c>
      <c r="D15" s="22" t="s">
        <v>28</v>
      </c>
      <c r="E15" s="23">
        <v>24</v>
      </c>
      <c r="F15" s="23">
        <f t="shared" si="0"/>
        <v>-1</v>
      </c>
      <c r="G15" s="27" t="s">
        <v>9</v>
      </c>
      <c r="H15" s="24" t="s">
        <v>17</v>
      </c>
      <c r="J15" s="3">
        <f t="shared" si="1"/>
        <v>6</v>
      </c>
      <c r="K15" s="17">
        <v>25</v>
      </c>
      <c r="L15" s="17">
        <f t="shared" si="2"/>
        <v>24</v>
      </c>
      <c r="M15" s="35">
        <v>23</v>
      </c>
      <c r="N15" s="35">
        <v>27</v>
      </c>
      <c r="O15" s="35">
        <v>21</v>
      </c>
      <c r="P15" s="35">
        <v>29</v>
      </c>
    </row>
    <row r="16" spans="1:16" ht="23.25" customHeight="1" x14ac:dyDescent="0.45">
      <c r="A16" s="22">
        <v>7</v>
      </c>
      <c r="B16" s="21">
        <v>44656</v>
      </c>
      <c r="C16" s="21" t="s">
        <v>62</v>
      </c>
      <c r="D16" s="22" t="s">
        <v>27</v>
      </c>
      <c r="E16" s="23">
        <v>23</v>
      </c>
      <c r="F16" s="23">
        <f t="shared" si="0"/>
        <v>-2</v>
      </c>
      <c r="G16" s="27" t="s">
        <v>9</v>
      </c>
      <c r="H16" s="24" t="s">
        <v>17</v>
      </c>
      <c r="J16" s="3">
        <f t="shared" si="1"/>
        <v>7</v>
      </c>
      <c r="K16" s="17">
        <v>25</v>
      </c>
      <c r="L16" s="17">
        <f t="shared" si="2"/>
        <v>23</v>
      </c>
      <c r="M16" s="35">
        <v>23</v>
      </c>
      <c r="N16" s="35">
        <v>27</v>
      </c>
      <c r="O16" s="35">
        <v>21</v>
      </c>
      <c r="P16" s="35">
        <v>29</v>
      </c>
    </row>
    <row r="17" spans="1:16" ht="19.5" customHeight="1" x14ac:dyDescent="0.45">
      <c r="A17" s="22">
        <v>8</v>
      </c>
      <c r="B17" s="21">
        <v>44656</v>
      </c>
      <c r="C17" s="21" t="s">
        <v>62</v>
      </c>
      <c r="D17" s="22" t="s">
        <v>28</v>
      </c>
      <c r="E17" s="23">
        <v>23</v>
      </c>
      <c r="F17" s="23">
        <f t="shared" si="0"/>
        <v>-2</v>
      </c>
      <c r="G17" s="27" t="s">
        <v>9</v>
      </c>
      <c r="H17" s="24" t="s">
        <v>17</v>
      </c>
      <c r="J17" s="3">
        <f t="shared" si="1"/>
        <v>8</v>
      </c>
      <c r="K17" s="17">
        <v>25</v>
      </c>
      <c r="L17" s="17">
        <f t="shared" si="2"/>
        <v>23</v>
      </c>
      <c r="M17" s="35">
        <v>23</v>
      </c>
      <c r="N17" s="35">
        <v>27</v>
      </c>
      <c r="O17" s="35">
        <v>21</v>
      </c>
      <c r="P17" s="35">
        <v>29</v>
      </c>
    </row>
    <row r="18" spans="1:16" ht="20.149999999999999" customHeight="1" x14ac:dyDescent="0.45">
      <c r="A18" s="22">
        <v>9</v>
      </c>
      <c r="B18" s="21">
        <v>44657</v>
      </c>
      <c r="C18" s="21" t="s">
        <v>63</v>
      </c>
      <c r="D18" s="22" t="s">
        <v>27</v>
      </c>
      <c r="E18" s="23">
        <v>25</v>
      </c>
      <c r="F18" s="23">
        <f t="shared" si="0"/>
        <v>0</v>
      </c>
      <c r="G18" s="27" t="s">
        <v>9</v>
      </c>
      <c r="H18" s="24" t="s">
        <v>17</v>
      </c>
      <c r="J18" s="3">
        <f t="shared" si="1"/>
        <v>9</v>
      </c>
      <c r="K18" s="17">
        <v>25</v>
      </c>
      <c r="L18" s="17">
        <f t="shared" si="2"/>
        <v>25</v>
      </c>
      <c r="M18" s="35">
        <v>23</v>
      </c>
      <c r="N18" s="35">
        <v>27</v>
      </c>
      <c r="O18" s="35">
        <v>21</v>
      </c>
      <c r="P18" s="35">
        <v>29</v>
      </c>
    </row>
    <row r="19" spans="1:16" ht="20.149999999999999" customHeight="1" x14ac:dyDescent="0.45">
      <c r="A19" s="22">
        <v>10</v>
      </c>
      <c r="B19" s="21">
        <v>44657</v>
      </c>
      <c r="C19" s="21" t="s">
        <v>63</v>
      </c>
      <c r="D19" s="22" t="s">
        <v>28</v>
      </c>
      <c r="E19" s="23">
        <v>25</v>
      </c>
      <c r="F19" s="23">
        <f t="shared" si="0"/>
        <v>0</v>
      </c>
      <c r="G19" s="27" t="s">
        <v>9</v>
      </c>
      <c r="H19" s="24" t="s">
        <v>17</v>
      </c>
      <c r="J19" s="3">
        <f t="shared" si="1"/>
        <v>10</v>
      </c>
      <c r="K19" s="17">
        <v>25</v>
      </c>
      <c r="L19" s="17">
        <f t="shared" si="2"/>
        <v>25</v>
      </c>
      <c r="M19" s="35">
        <v>23</v>
      </c>
      <c r="N19" s="35">
        <v>27</v>
      </c>
      <c r="O19" s="35">
        <v>21</v>
      </c>
      <c r="P19" s="35">
        <v>29</v>
      </c>
    </row>
    <row r="20" spans="1:16" ht="20.149999999999999" customHeight="1" x14ac:dyDescent="0.45">
      <c r="A20" s="22">
        <v>11</v>
      </c>
      <c r="B20" s="21">
        <v>44658</v>
      </c>
      <c r="C20" s="21" t="s">
        <v>66</v>
      </c>
      <c r="D20" s="22" t="s">
        <v>27</v>
      </c>
      <c r="E20" s="23">
        <v>23</v>
      </c>
      <c r="F20" s="23">
        <f t="shared" si="0"/>
        <v>-2</v>
      </c>
      <c r="G20" s="27" t="s">
        <v>9</v>
      </c>
      <c r="H20" s="24" t="s">
        <v>17</v>
      </c>
      <c r="J20" s="3">
        <f t="shared" si="1"/>
        <v>11</v>
      </c>
      <c r="K20" s="17">
        <v>25</v>
      </c>
      <c r="L20" s="17">
        <f t="shared" si="2"/>
        <v>23</v>
      </c>
      <c r="M20" s="35">
        <v>23</v>
      </c>
      <c r="N20" s="35">
        <v>27</v>
      </c>
      <c r="O20" s="35">
        <v>21</v>
      </c>
      <c r="P20" s="35">
        <v>29</v>
      </c>
    </row>
    <row r="21" spans="1:16" ht="20.149999999999999" customHeight="1" x14ac:dyDescent="0.45">
      <c r="A21" s="22">
        <v>12</v>
      </c>
      <c r="B21" s="21">
        <v>44658</v>
      </c>
      <c r="C21" s="21" t="s">
        <v>66</v>
      </c>
      <c r="D21" s="22" t="s">
        <v>53</v>
      </c>
      <c r="E21" s="23">
        <v>23</v>
      </c>
      <c r="F21" s="23">
        <f t="shared" si="0"/>
        <v>-2</v>
      </c>
      <c r="G21" s="27" t="s">
        <v>9</v>
      </c>
      <c r="H21" s="24" t="s">
        <v>17</v>
      </c>
      <c r="J21" s="3">
        <f t="shared" si="1"/>
        <v>12</v>
      </c>
      <c r="K21" s="17">
        <v>25</v>
      </c>
      <c r="L21" s="17">
        <f t="shared" si="2"/>
        <v>23</v>
      </c>
      <c r="M21" s="35">
        <v>23</v>
      </c>
      <c r="N21" s="35">
        <v>27</v>
      </c>
      <c r="O21" s="35">
        <v>21</v>
      </c>
      <c r="P21" s="35">
        <v>29</v>
      </c>
    </row>
    <row r="22" spans="1:16" ht="20.149999999999999" customHeight="1" x14ac:dyDescent="0.45">
      <c r="A22" s="22">
        <v>13</v>
      </c>
      <c r="B22" s="21">
        <v>44659</v>
      </c>
      <c r="C22" s="21" t="s">
        <v>59</v>
      </c>
      <c r="D22" s="22" t="s">
        <v>27</v>
      </c>
      <c r="E22" s="23">
        <v>24</v>
      </c>
      <c r="F22" s="23">
        <f t="shared" si="0"/>
        <v>-1</v>
      </c>
      <c r="G22" s="27" t="s">
        <v>9</v>
      </c>
      <c r="H22" s="24" t="s">
        <v>17</v>
      </c>
      <c r="J22" s="3">
        <f t="shared" si="1"/>
        <v>13</v>
      </c>
      <c r="K22" s="17">
        <v>25</v>
      </c>
      <c r="L22" s="17">
        <f t="shared" si="2"/>
        <v>24</v>
      </c>
      <c r="M22" s="35">
        <v>23</v>
      </c>
      <c r="N22" s="35">
        <v>27</v>
      </c>
      <c r="O22" s="35">
        <v>21</v>
      </c>
      <c r="P22" s="35">
        <v>29</v>
      </c>
    </row>
    <row r="23" spans="1:16" ht="20.149999999999999" customHeight="1" x14ac:dyDescent="0.45">
      <c r="A23" s="22">
        <v>14</v>
      </c>
      <c r="B23" s="21">
        <v>44659</v>
      </c>
      <c r="C23" s="21" t="s">
        <v>59</v>
      </c>
      <c r="D23" s="22" t="s">
        <v>28</v>
      </c>
      <c r="E23" s="23">
        <v>24</v>
      </c>
      <c r="F23" s="23">
        <f t="shared" si="0"/>
        <v>-1</v>
      </c>
      <c r="G23" s="27" t="s">
        <v>9</v>
      </c>
      <c r="H23" s="24" t="s">
        <v>17</v>
      </c>
      <c r="J23" s="3">
        <f t="shared" si="1"/>
        <v>14</v>
      </c>
      <c r="K23" s="17">
        <v>25</v>
      </c>
      <c r="L23" s="17">
        <f t="shared" si="2"/>
        <v>24</v>
      </c>
      <c r="M23" s="35">
        <v>23</v>
      </c>
      <c r="N23" s="35">
        <v>27</v>
      </c>
      <c r="O23" s="35">
        <v>21</v>
      </c>
      <c r="P23" s="35">
        <v>29</v>
      </c>
    </row>
    <row r="24" spans="1:16" s="34" customFormat="1" ht="20.149999999999999" customHeight="1" x14ac:dyDescent="0.45">
      <c r="A24" s="22">
        <v>15</v>
      </c>
      <c r="B24" s="21">
        <v>44660</v>
      </c>
      <c r="C24" s="21" t="s">
        <v>60</v>
      </c>
      <c r="D24" s="22" t="s">
        <v>27</v>
      </c>
      <c r="E24" s="23">
        <v>24</v>
      </c>
      <c r="F24" s="23">
        <f t="shared" ref="F24:F29" si="3">E24-$D$5</f>
        <v>-1</v>
      </c>
      <c r="G24" s="27" t="s">
        <v>9</v>
      </c>
      <c r="H24" s="24" t="s">
        <v>17</v>
      </c>
      <c r="J24" s="34">
        <f t="shared" si="1"/>
        <v>15</v>
      </c>
      <c r="K24" s="35">
        <v>25</v>
      </c>
      <c r="L24" s="35">
        <f t="shared" ref="L24:L35" si="4">E24</f>
        <v>24</v>
      </c>
      <c r="M24" s="35">
        <v>23</v>
      </c>
      <c r="N24" s="35">
        <v>27</v>
      </c>
      <c r="O24" s="35">
        <v>21</v>
      </c>
      <c r="P24" s="35">
        <v>29</v>
      </c>
    </row>
    <row r="25" spans="1:16" s="34" customFormat="1" ht="20.149999999999999" customHeight="1" x14ac:dyDescent="0.45">
      <c r="A25" s="22">
        <v>16</v>
      </c>
      <c r="B25" s="21">
        <v>44660</v>
      </c>
      <c r="C25" s="21" t="s">
        <v>60</v>
      </c>
      <c r="D25" s="22" t="s">
        <v>28</v>
      </c>
      <c r="E25" s="23">
        <v>24</v>
      </c>
      <c r="F25" s="23">
        <f t="shared" si="3"/>
        <v>-1</v>
      </c>
      <c r="G25" s="27" t="s">
        <v>9</v>
      </c>
      <c r="H25" s="24" t="s">
        <v>17</v>
      </c>
      <c r="J25" s="34">
        <f t="shared" si="1"/>
        <v>16</v>
      </c>
      <c r="K25" s="35">
        <v>25</v>
      </c>
      <c r="L25" s="35">
        <f t="shared" si="4"/>
        <v>24</v>
      </c>
      <c r="M25" s="35">
        <v>23</v>
      </c>
      <c r="N25" s="35">
        <v>27</v>
      </c>
      <c r="O25" s="35">
        <v>21</v>
      </c>
      <c r="P25" s="35">
        <v>29</v>
      </c>
    </row>
    <row r="26" spans="1:16" s="34" customFormat="1" ht="20.149999999999999" customHeight="1" x14ac:dyDescent="0.45">
      <c r="A26" s="22">
        <v>17</v>
      </c>
      <c r="B26" s="21">
        <v>44662</v>
      </c>
      <c r="C26" s="21" t="s">
        <v>61</v>
      </c>
      <c r="D26" s="22" t="s">
        <v>27</v>
      </c>
      <c r="E26" s="23">
        <v>23</v>
      </c>
      <c r="F26" s="23">
        <f t="shared" si="3"/>
        <v>-2</v>
      </c>
      <c r="G26" s="27" t="s">
        <v>9</v>
      </c>
      <c r="H26" s="24" t="s">
        <v>17</v>
      </c>
      <c r="J26" s="34">
        <f t="shared" si="1"/>
        <v>17</v>
      </c>
      <c r="K26" s="35">
        <v>25</v>
      </c>
      <c r="L26" s="35">
        <f t="shared" si="4"/>
        <v>23</v>
      </c>
      <c r="M26" s="35">
        <v>23</v>
      </c>
      <c r="N26" s="35">
        <v>27</v>
      </c>
      <c r="O26" s="35">
        <v>21</v>
      </c>
      <c r="P26" s="35">
        <v>29</v>
      </c>
    </row>
    <row r="27" spans="1:16" s="34" customFormat="1" ht="20.149999999999999" customHeight="1" x14ac:dyDescent="0.45">
      <c r="A27" s="22">
        <v>18</v>
      </c>
      <c r="B27" s="21">
        <v>44662</v>
      </c>
      <c r="C27" s="21" t="s">
        <v>61</v>
      </c>
      <c r="D27" s="22" t="s">
        <v>28</v>
      </c>
      <c r="E27" s="23">
        <v>23</v>
      </c>
      <c r="F27" s="23">
        <f t="shared" si="3"/>
        <v>-2</v>
      </c>
      <c r="G27" s="27" t="s">
        <v>9</v>
      </c>
      <c r="H27" s="24" t="s">
        <v>17</v>
      </c>
      <c r="J27" s="34">
        <f t="shared" si="1"/>
        <v>18</v>
      </c>
      <c r="K27" s="35">
        <v>25</v>
      </c>
      <c r="L27" s="35">
        <f t="shared" si="4"/>
        <v>23</v>
      </c>
      <c r="M27" s="35">
        <v>23</v>
      </c>
      <c r="N27" s="35">
        <v>27</v>
      </c>
      <c r="O27" s="35">
        <v>21</v>
      </c>
      <c r="P27" s="35">
        <v>29</v>
      </c>
    </row>
    <row r="28" spans="1:16" s="34" customFormat="1" ht="20.149999999999999" customHeight="1" x14ac:dyDescent="0.45">
      <c r="A28" s="22">
        <v>19</v>
      </c>
      <c r="B28" s="21">
        <v>44663</v>
      </c>
      <c r="C28" s="21" t="s">
        <v>62</v>
      </c>
      <c r="D28" s="22" t="s">
        <v>27</v>
      </c>
      <c r="E28" s="23">
        <v>24</v>
      </c>
      <c r="F28" s="23">
        <f t="shared" si="3"/>
        <v>-1</v>
      </c>
      <c r="G28" s="27" t="s">
        <v>9</v>
      </c>
      <c r="H28" s="24" t="s">
        <v>17</v>
      </c>
      <c r="J28" s="34">
        <f t="shared" si="1"/>
        <v>19</v>
      </c>
      <c r="K28" s="35">
        <v>25</v>
      </c>
      <c r="L28" s="35">
        <f t="shared" si="4"/>
        <v>24</v>
      </c>
      <c r="M28" s="35">
        <v>23</v>
      </c>
      <c r="N28" s="35">
        <v>27</v>
      </c>
      <c r="O28" s="35">
        <v>21</v>
      </c>
      <c r="P28" s="35">
        <v>29</v>
      </c>
    </row>
    <row r="29" spans="1:16" s="34" customFormat="1" ht="20.149999999999999" customHeight="1" x14ac:dyDescent="0.45">
      <c r="A29" s="22">
        <v>20</v>
      </c>
      <c r="B29" s="21">
        <v>44663</v>
      </c>
      <c r="C29" s="21" t="s">
        <v>62</v>
      </c>
      <c r="D29" s="22" t="s">
        <v>28</v>
      </c>
      <c r="E29" s="23">
        <v>24</v>
      </c>
      <c r="F29" s="23">
        <f t="shared" si="3"/>
        <v>-1</v>
      </c>
      <c r="G29" s="27" t="s">
        <v>9</v>
      </c>
      <c r="H29" s="24" t="s">
        <v>17</v>
      </c>
      <c r="J29" s="34">
        <f t="shared" si="1"/>
        <v>20</v>
      </c>
      <c r="K29" s="35">
        <v>25</v>
      </c>
      <c r="L29" s="35">
        <f t="shared" si="4"/>
        <v>24</v>
      </c>
      <c r="M29" s="35">
        <v>23</v>
      </c>
      <c r="N29" s="35">
        <v>27</v>
      </c>
      <c r="O29" s="35">
        <v>21</v>
      </c>
      <c r="P29" s="35">
        <v>29</v>
      </c>
    </row>
    <row r="30" spans="1:16" ht="20.149999999999999" customHeight="1" x14ac:dyDescent="0.45">
      <c r="A30" s="22">
        <v>21</v>
      </c>
      <c r="B30" s="21">
        <v>44664</v>
      </c>
      <c r="C30" s="21" t="s">
        <v>63</v>
      </c>
      <c r="D30" s="22" t="s">
        <v>27</v>
      </c>
      <c r="E30" s="23">
        <v>23</v>
      </c>
      <c r="F30" s="23">
        <f t="shared" ref="F30:F35" si="5">E30-$D$5</f>
        <v>-2</v>
      </c>
      <c r="G30" s="27" t="s">
        <v>9</v>
      </c>
      <c r="H30" s="24" t="s">
        <v>17</v>
      </c>
      <c r="J30" s="34">
        <f t="shared" si="1"/>
        <v>21</v>
      </c>
      <c r="K30" s="35">
        <v>25</v>
      </c>
      <c r="L30" s="35">
        <f t="shared" si="4"/>
        <v>23</v>
      </c>
      <c r="M30" s="35">
        <v>23</v>
      </c>
      <c r="N30" s="35">
        <v>27</v>
      </c>
      <c r="O30" s="35">
        <v>21</v>
      </c>
      <c r="P30" s="35">
        <v>29</v>
      </c>
    </row>
    <row r="31" spans="1:16" ht="20.149999999999999" customHeight="1" x14ac:dyDescent="0.45">
      <c r="A31" s="22">
        <v>22</v>
      </c>
      <c r="B31" s="21">
        <v>44664</v>
      </c>
      <c r="C31" s="21" t="s">
        <v>63</v>
      </c>
      <c r="D31" s="22" t="s">
        <v>28</v>
      </c>
      <c r="E31" s="23">
        <v>23</v>
      </c>
      <c r="F31" s="23">
        <f t="shared" si="5"/>
        <v>-2</v>
      </c>
      <c r="G31" s="27" t="s">
        <v>9</v>
      </c>
      <c r="H31" s="24" t="s">
        <v>17</v>
      </c>
      <c r="J31" s="34">
        <f t="shared" si="1"/>
        <v>22</v>
      </c>
      <c r="K31" s="35">
        <v>25</v>
      </c>
      <c r="L31" s="35">
        <f t="shared" si="4"/>
        <v>23</v>
      </c>
      <c r="M31" s="35">
        <v>23</v>
      </c>
      <c r="N31" s="35">
        <v>27</v>
      </c>
      <c r="O31" s="35">
        <v>21</v>
      </c>
      <c r="P31" s="35">
        <v>29</v>
      </c>
    </row>
    <row r="32" spans="1:16" ht="20.149999999999999" customHeight="1" x14ac:dyDescent="0.45">
      <c r="A32" s="22">
        <v>23</v>
      </c>
      <c r="B32" s="21">
        <v>44665</v>
      </c>
      <c r="C32" s="21" t="s">
        <v>64</v>
      </c>
      <c r="D32" s="22" t="s">
        <v>27</v>
      </c>
      <c r="E32" s="23">
        <v>25</v>
      </c>
      <c r="F32" s="23">
        <f t="shared" si="5"/>
        <v>0</v>
      </c>
      <c r="G32" s="27" t="s">
        <v>9</v>
      </c>
      <c r="H32" s="24" t="s">
        <v>17</v>
      </c>
      <c r="J32" s="34">
        <f t="shared" si="1"/>
        <v>23</v>
      </c>
      <c r="K32" s="35">
        <v>25</v>
      </c>
      <c r="L32" s="35">
        <f t="shared" si="4"/>
        <v>25</v>
      </c>
      <c r="M32" s="35">
        <v>23</v>
      </c>
      <c r="N32" s="35">
        <v>27</v>
      </c>
      <c r="O32" s="35">
        <v>21</v>
      </c>
      <c r="P32" s="35">
        <v>29</v>
      </c>
    </row>
    <row r="33" spans="1:16" ht="20.149999999999999" customHeight="1" x14ac:dyDescent="0.45">
      <c r="A33" s="22">
        <v>24</v>
      </c>
      <c r="B33" s="21">
        <v>44665</v>
      </c>
      <c r="C33" s="21" t="s">
        <v>64</v>
      </c>
      <c r="D33" s="22" t="s">
        <v>28</v>
      </c>
      <c r="E33" s="23">
        <v>25</v>
      </c>
      <c r="F33" s="23">
        <f t="shared" si="5"/>
        <v>0</v>
      </c>
      <c r="G33" s="27" t="s">
        <v>9</v>
      </c>
      <c r="H33" s="24" t="s">
        <v>17</v>
      </c>
      <c r="J33" s="34">
        <f t="shared" si="1"/>
        <v>24</v>
      </c>
      <c r="K33" s="35">
        <v>25</v>
      </c>
      <c r="L33" s="35">
        <f t="shared" si="4"/>
        <v>25</v>
      </c>
      <c r="M33" s="35">
        <v>23</v>
      </c>
      <c r="N33" s="35">
        <v>27</v>
      </c>
      <c r="O33" s="35">
        <v>21</v>
      </c>
      <c r="P33" s="35">
        <v>29</v>
      </c>
    </row>
    <row r="34" spans="1:16" ht="20.149999999999999" customHeight="1" x14ac:dyDescent="0.45">
      <c r="A34" s="22">
        <v>25</v>
      </c>
      <c r="B34" s="21">
        <v>44666</v>
      </c>
      <c r="C34" s="21" t="s">
        <v>59</v>
      </c>
      <c r="D34" s="22" t="s">
        <v>27</v>
      </c>
      <c r="E34" s="23">
        <v>24</v>
      </c>
      <c r="F34" s="23">
        <f t="shared" si="5"/>
        <v>-1</v>
      </c>
      <c r="G34" s="27" t="s">
        <v>9</v>
      </c>
      <c r="H34" s="24" t="s">
        <v>17</v>
      </c>
      <c r="J34" s="34">
        <f t="shared" si="1"/>
        <v>25</v>
      </c>
      <c r="K34" s="35">
        <v>25</v>
      </c>
      <c r="L34" s="35">
        <f t="shared" si="4"/>
        <v>24</v>
      </c>
      <c r="M34" s="35">
        <v>23</v>
      </c>
      <c r="N34" s="35">
        <v>27</v>
      </c>
      <c r="O34" s="35">
        <v>21</v>
      </c>
      <c r="P34" s="35">
        <v>29</v>
      </c>
    </row>
    <row r="35" spans="1:16" ht="20.149999999999999" customHeight="1" x14ac:dyDescent="0.45">
      <c r="A35" s="22">
        <v>26</v>
      </c>
      <c r="B35" s="21">
        <v>44666</v>
      </c>
      <c r="C35" s="21" t="s">
        <v>59</v>
      </c>
      <c r="D35" s="22" t="s">
        <v>28</v>
      </c>
      <c r="E35" s="23">
        <v>24</v>
      </c>
      <c r="F35" s="23">
        <f t="shared" si="5"/>
        <v>-1</v>
      </c>
      <c r="G35" s="27" t="s">
        <v>9</v>
      </c>
      <c r="H35" s="24" t="s">
        <v>17</v>
      </c>
      <c r="J35" s="34">
        <f t="shared" si="1"/>
        <v>26</v>
      </c>
      <c r="K35" s="35">
        <v>25</v>
      </c>
      <c r="L35" s="35">
        <f t="shared" si="4"/>
        <v>24</v>
      </c>
      <c r="M35" s="35">
        <v>23</v>
      </c>
      <c r="N35" s="35">
        <v>27</v>
      </c>
      <c r="O35" s="35">
        <v>21</v>
      </c>
      <c r="P35" s="35">
        <v>29</v>
      </c>
    </row>
    <row r="36" spans="1:16" s="34" customFormat="1" ht="20.149999999999999" customHeight="1" x14ac:dyDescent="0.45">
      <c r="A36" s="21" t="s">
        <v>54</v>
      </c>
      <c r="B36" s="47">
        <f>AVERAGE(E10:E35)</f>
        <v>23.846153846153847</v>
      </c>
      <c r="C36" s="21" t="s">
        <v>55</v>
      </c>
      <c r="D36" s="48">
        <v>25</v>
      </c>
      <c r="E36" s="23" t="s">
        <v>56</v>
      </c>
      <c r="F36" s="48">
        <v>23</v>
      </c>
      <c r="G36" s="48"/>
      <c r="H36" s="24" t="s">
        <v>17</v>
      </c>
      <c r="K36" s="35"/>
      <c r="L36" s="35"/>
      <c r="M36" s="35"/>
      <c r="N36" s="35"/>
      <c r="O36" s="35"/>
      <c r="P36" s="35"/>
    </row>
    <row r="37" spans="1:16" ht="60" customHeight="1" x14ac:dyDescent="0.45">
      <c r="A37" s="29" t="s">
        <v>10</v>
      </c>
      <c r="B37" s="30"/>
      <c r="C37" s="30"/>
      <c r="D37" s="31"/>
      <c r="E37" s="31"/>
      <c r="F37" s="31"/>
      <c r="G37" s="31"/>
      <c r="H37" s="31"/>
    </row>
    <row r="38" spans="1:16" ht="20.149999999999999" customHeight="1" x14ac:dyDescent="0.45">
      <c r="A38" s="30"/>
      <c r="B38" s="30"/>
      <c r="C38" s="30"/>
      <c r="D38" s="30" t="s">
        <v>1</v>
      </c>
      <c r="E38" s="30"/>
      <c r="F38" s="30"/>
      <c r="G38" s="49" t="s">
        <v>2</v>
      </c>
      <c r="H38" s="49" t="s">
        <v>3</v>
      </c>
    </row>
    <row r="39" spans="1:16" ht="48" customHeight="1" x14ac:dyDescent="0.45">
      <c r="A39" s="18" t="s">
        <v>16</v>
      </c>
      <c r="E39" s="19"/>
      <c r="F39" s="19"/>
    </row>
    <row r="40" spans="1:16" x14ac:dyDescent="0.45">
      <c r="D40" s="20" t="s">
        <v>1</v>
      </c>
      <c r="G40" s="20" t="s">
        <v>2</v>
      </c>
      <c r="H40" s="20" t="s">
        <v>3</v>
      </c>
    </row>
    <row r="42" spans="1:16" ht="20.25" customHeight="1" x14ac:dyDescent="0.45">
      <c r="A42" s="18" t="s">
        <v>20</v>
      </c>
      <c r="D42" s="19"/>
      <c r="E42" s="19"/>
      <c r="F42" s="19"/>
      <c r="G42" s="19"/>
      <c r="H42" s="19"/>
    </row>
    <row r="43" spans="1:16" ht="42" customHeight="1" x14ac:dyDescent="0.45">
      <c r="D43" s="19"/>
      <c r="E43" s="19"/>
      <c r="F43" s="19"/>
      <c r="G43" s="19"/>
      <c r="H43" s="19"/>
    </row>
    <row r="44" spans="1:16" ht="52.5" customHeight="1" x14ac:dyDescent="0.45">
      <c r="D44" s="19"/>
      <c r="E44" s="19"/>
      <c r="F44" s="19"/>
    </row>
    <row r="45" spans="1:16" ht="34.5" customHeight="1" thickBot="1" x14ac:dyDescent="0.5">
      <c r="G45" s="50" t="s">
        <v>2</v>
      </c>
      <c r="H45" s="50" t="s">
        <v>3</v>
      </c>
    </row>
    <row r="46" spans="1:16" ht="4.5" hidden="1" customHeight="1" thickBot="1" x14ac:dyDescent="0.5"/>
    <row r="47" spans="1:16" s="41" customFormat="1" ht="16.5" hidden="1" thickBot="1" x14ac:dyDescent="0.5">
      <c r="B47" s="34"/>
      <c r="C47" s="34"/>
    </row>
    <row r="48" spans="1:16" s="41" customFormat="1" ht="14.25" customHeight="1" thickBot="1" x14ac:dyDescent="0.5">
      <c r="A48" s="42" t="s">
        <v>47</v>
      </c>
      <c r="B48" s="43" t="s">
        <v>48</v>
      </c>
      <c r="C48" s="34"/>
      <c r="D48" s="44" t="s">
        <v>49</v>
      </c>
      <c r="E48" s="43">
        <v>0</v>
      </c>
      <c r="F48" s="44" t="s">
        <v>50</v>
      </c>
      <c r="G48" s="45">
        <v>43836</v>
      </c>
      <c r="H48" s="46" t="s">
        <v>0</v>
      </c>
    </row>
    <row r="49" spans="3:3" ht="16.5" hidden="1" thickBot="1" x14ac:dyDescent="0.5">
      <c r="C49" s="41"/>
    </row>
    <row r="50" spans="3:3" x14ac:dyDescent="0.45">
      <c r="C50" s="43"/>
    </row>
  </sheetData>
  <mergeCells count="1">
    <mergeCell ref="D1:F1"/>
  </mergeCells>
  <printOptions horizontalCentered="1" verticalCentered="1"/>
  <pageMargins left="0.7" right="0.7" top="0.75" bottom="0.75" header="0.3" footer="0.3"/>
  <pageSetup paperSize="9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Main Hall-Sep-1</vt:lpstr>
      <vt:lpstr>icp-Sep-1</vt:lpstr>
      <vt:lpstr>Micro-Sep-1</vt:lpstr>
      <vt:lpstr>SR-Room-Sep-1</vt:lpstr>
      <vt:lpstr>_1_Apr_2021</vt:lpstr>
      <vt:lpstr>'icp-Sep-1'!Print_Area</vt:lpstr>
      <vt:lpstr>'Main Hall-Sep-1'!Print_Area</vt:lpstr>
      <vt:lpstr>'Micro-Sep-1'!Print_Area</vt:lpstr>
      <vt:lpstr>'SR-Room-Sep-1'!Print_Area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2022-03-14T10:02:00Z</cp:lastPrinted>
  <dcterms:created xsi:type="dcterms:W3CDTF">2019-12-19T05:48:48Z</dcterms:created>
  <dcterms:modified xsi:type="dcterms:W3CDTF">2023-03-09T11:49:47Z</dcterms:modified>
</cp:coreProperties>
</file>