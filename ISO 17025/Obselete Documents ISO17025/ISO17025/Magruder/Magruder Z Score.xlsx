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"/>
    </mc:Choice>
  </mc:AlternateContent>
  <xr:revisionPtr revIDLastSave="0" documentId="13_ncr:1_{D3229F6D-F9FD-40DB-913A-EC0BD44D787B}" xr6:coauthVersionLast="45" xr6:coauthVersionMax="47" xr10:uidLastSave="{00000000-0000-0000-0000-000000000000}"/>
  <bookViews>
    <workbookView xWindow="-110" yWindow="-110" windowWidth="19420" windowHeight="10420" activeTab="1" xr2:uid="{1364628F-400F-4CE0-B613-27C31CA2AB3C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3" i="1"/>
  <c r="O14" i="1"/>
  <c r="O16" i="1"/>
  <c r="O17" i="1"/>
  <c r="O18" i="1"/>
  <c r="O21" i="1"/>
  <c r="O23" i="1"/>
  <c r="O25" i="1"/>
</calcChain>
</file>

<file path=xl/sharedStrings.xml><?xml version="1.0" encoding="utf-8"?>
<sst xmlns="http://schemas.openxmlformats.org/spreadsheetml/2006/main" count="212" uniqueCount="25">
  <si>
    <t>Sr. No.</t>
  </si>
  <si>
    <t>Nutrients</t>
  </si>
  <si>
    <t>Sample ID</t>
  </si>
  <si>
    <t>P2O5</t>
  </si>
  <si>
    <t>K2O</t>
  </si>
  <si>
    <t>NH3 N</t>
  </si>
  <si>
    <t>NO3 N</t>
  </si>
  <si>
    <t>Total N</t>
  </si>
  <si>
    <t>Sulfate S</t>
  </si>
  <si>
    <t>Total S</t>
  </si>
  <si>
    <t>Ca</t>
  </si>
  <si>
    <t>Mg</t>
  </si>
  <si>
    <t>S</t>
  </si>
  <si>
    <t>Fe</t>
  </si>
  <si>
    <t>Humic Acid</t>
  </si>
  <si>
    <t>Cl</t>
  </si>
  <si>
    <t>Urea N</t>
  </si>
  <si>
    <t>Cu</t>
  </si>
  <si>
    <t>Mn</t>
  </si>
  <si>
    <t>Zn</t>
  </si>
  <si>
    <t>Mo</t>
  </si>
  <si>
    <t>-</t>
  </si>
  <si>
    <t>Magruder ISO 17025</t>
  </si>
  <si>
    <t>Average Score</t>
  </si>
  <si>
    <t>Boron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</si>
</sst>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C525-7082-417A-8D4E-F47A004BC713}">
  <dimension ref="A1:O25"/>
  <sheetViews>
    <sheetView topLeftCell="A22" workbookViewId="0">
      <selection activeCell="N13" sqref="N13"/>
    </sheetView>
  </sheetViews>
  <sheetFormatPr defaultRowHeight="15.5" x14ac:dyDescent="0.35"/>
  <cols>
    <col min="2" max="2" width="11.83203125" bestFit="1" customWidth="1"/>
    <col min="4" max="14" width="8.6640625" customWidth="1"/>
    <col min="15" max="15" width="9.58203125" customWidth="1"/>
  </cols>
  <sheetData>
    <row r="1" spans="1:15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8"/>
    </row>
    <row r="2" spans="1:15" ht="15.75" customHeight="1" x14ac:dyDescent="0.35">
      <c r="A2" s="14" t="s">
        <v>22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5.75" customHeight="1" x14ac:dyDescent="0.3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8"/>
    </row>
    <row r="5" spans="1:15" x14ac:dyDescent="0.35">
      <c r="A5" s="11" t="s">
        <v>0</v>
      </c>
      <c r="B5" s="11" t="s">
        <v>1</v>
      </c>
      <c r="C5" s="9" t="s">
        <v>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31" x14ac:dyDescent="0.35">
      <c r="A6" s="12"/>
      <c r="B6" s="12"/>
      <c r="C6" s="2">
        <v>230111</v>
      </c>
      <c r="D6" s="2">
        <v>230213</v>
      </c>
      <c r="E6" s="2">
        <v>230311</v>
      </c>
      <c r="F6" s="2">
        <v>230411</v>
      </c>
      <c r="G6" s="2">
        <v>230511</v>
      </c>
      <c r="H6" s="2">
        <v>230611</v>
      </c>
      <c r="I6" s="2">
        <v>230711</v>
      </c>
      <c r="J6" s="2">
        <v>230811</v>
      </c>
      <c r="K6" s="2">
        <v>230911</v>
      </c>
      <c r="L6" s="2">
        <v>231011</v>
      </c>
      <c r="M6" s="2">
        <v>231111</v>
      </c>
      <c r="N6" s="2">
        <v>231215</v>
      </c>
      <c r="O6" s="3" t="s">
        <v>23</v>
      </c>
    </row>
    <row r="7" spans="1:15" x14ac:dyDescent="0.35">
      <c r="A7" s="4">
        <v>1</v>
      </c>
      <c r="B7" s="4" t="s">
        <v>3</v>
      </c>
      <c r="C7" s="5" t="s">
        <v>21</v>
      </c>
      <c r="D7" s="5" t="s">
        <v>21</v>
      </c>
      <c r="E7" s="5" t="s">
        <v>21</v>
      </c>
      <c r="F7" s="5">
        <v>1.1100000000000001</v>
      </c>
      <c r="G7" s="5" t="s">
        <v>21</v>
      </c>
      <c r="H7" s="5">
        <v>-0.42</v>
      </c>
      <c r="I7" s="5">
        <v>0.67</v>
      </c>
      <c r="J7" s="5">
        <v>-1.17</v>
      </c>
      <c r="K7" s="5" t="s">
        <v>21</v>
      </c>
      <c r="L7" s="5" t="s">
        <v>21</v>
      </c>
      <c r="M7" s="5"/>
      <c r="N7" s="5"/>
      <c r="O7" s="6">
        <f>F7+H7+I7+J7/4</f>
        <v>1.0675000000000003</v>
      </c>
    </row>
    <row r="8" spans="1:15" x14ac:dyDescent="0.35">
      <c r="A8" s="4">
        <v>2</v>
      </c>
      <c r="B8" s="4" t="s">
        <v>4</v>
      </c>
      <c r="C8" s="4" t="s">
        <v>21</v>
      </c>
      <c r="D8" s="4" t="s">
        <v>21</v>
      </c>
      <c r="E8" s="4">
        <v>-1.1599999999999999</v>
      </c>
      <c r="F8" s="4">
        <v>0.63</v>
      </c>
      <c r="G8" s="4" t="s">
        <v>21</v>
      </c>
      <c r="H8" s="4">
        <v>-0.43</v>
      </c>
      <c r="I8" s="4" t="s">
        <v>21</v>
      </c>
      <c r="J8" s="4">
        <v>-0.66</v>
      </c>
      <c r="K8" s="4">
        <v>-0.13</v>
      </c>
      <c r="L8" s="4" t="s">
        <v>21</v>
      </c>
      <c r="M8" s="4"/>
      <c r="N8" s="4">
        <v>-0.71</v>
      </c>
      <c r="O8" s="6">
        <f>E8+F8+H8+J8+K8/5</f>
        <v>-1.6460000000000001</v>
      </c>
    </row>
    <row r="9" spans="1:15" x14ac:dyDescent="0.35">
      <c r="A9" s="4">
        <v>3</v>
      </c>
      <c r="B9" s="4" t="s">
        <v>7</v>
      </c>
      <c r="C9" s="4" t="s">
        <v>21</v>
      </c>
      <c r="D9" s="4" t="s">
        <v>21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>
        <v>0.17</v>
      </c>
      <c r="K9" s="4" t="s">
        <v>21</v>
      </c>
      <c r="L9" s="4" t="s">
        <v>21</v>
      </c>
      <c r="M9" s="4"/>
      <c r="N9" s="4"/>
      <c r="O9" s="6">
        <f>J9/1</f>
        <v>0.17</v>
      </c>
    </row>
    <row r="10" spans="1:15" x14ac:dyDescent="0.35">
      <c r="A10" s="4">
        <v>4</v>
      </c>
      <c r="B10" s="4" t="s">
        <v>6</v>
      </c>
      <c r="C10" s="4" t="s">
        <v>21</v>
      </c>
      <c r="D10" s="4" t="s">
        <v>21</v>
      </c>
      <c r="E10" s="4" t="s">
        <v>21</v>
      </c>
      <c r="F10" s="4" t="s">
        <v>21</v>
      </c>
      <c r="G10" s="4" t="s">
        <v>21</v>
      </c>
      <c r="H10" s="4">
        <v>-0.03</v>
      </c>
      <c r="I10" s="4" t="s">
        <v>21</v>
      </c>
      <c r="J10" s="4" t="s">
        <v>21</v>
      </c>
      <c r="K10" s="4" t="s">
        <v>21</v>
      </c>
      <c r="L10" s="4" t="s">
        <v>21</v>
      </c>
      <c r="M10" s="4"/>
      <c r="N10" s="4"/>
      <c r="O10" s="6">
        <f>H10/1</f>
        <v>-0.03</v>
      </c>
    </row>
    <row r="11" spans="1:15" x14ac:dyDescent="0.35">
      <c r="A11" s="4">
        <v>5</v>
      </c>
      <c r="B11" s="4" t="s">
        <v>5</v>
      </c>
      <c r="C11" s="4" t="s">
        <v>21</v>
      </c>
      <c r="D11" s="4" t="s">
        <v>21</v>
      </c>
      <c r="E11" s="4">
        <v>-1.38</v>
      </c>
      <c r="F11" s="4">
        <v>-1.37</v>
      </c>
      <c r="G11" s="4" t="s">
        <v>21</v>
      </c>
      <c r="H11" s="4">
        <v>-1.23</v>
      </c>
      <c r="I11" s="4">
        <v>1.81</v>
      </c>
      <c r="J11" s="4" t="s">
        <v>21</v>
      </c>
      <c r="K11" s="4" t="s">
        <v>21</v>
      </c>
      <c r="L11" s="4" t="s">
        <v>21</v>
      </c>
      <c r="M11" s="4"/>
      <c r="N11" s="4"/>
      <c r="O11" s="6">
        <f>E11+F11+H11+I11/4</f>
        <v>-3.5274999999999999</v>
      </c>
    </row>
    <row r="12" spans="1:15" x14ac:dyDescent="0.35">
      <c r="A12" s="4">
        <v>6</v>
      </c>
      <c r="B12" s="4" t="s">
        <v>16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/>
      <c r="N12" s="4"/>
      <c r="O12" s="6"/>
    </row>
    <row r="13" spans="1:15" x14ac:dyDescent="0.35">
      <c r="A13" s="4">
        <v>7</v>
      </c>
      <c r="B13" s="4" t="s">
        <v>8</v>
      </c>
      <c r="C13" s="4" t="s">
        <v>21</v>
      </c>
      <c r="D13" s="4" t="s">
        <v>21</v>
      </c>
      <c r="E13" s="4" t="s">
        <v>21</v>
      </c>
      <c r="F13" s="4" t="s">
        <v>21</v>
      </c>
      <c r="G13" s="4" t="s">
        <v>21</v>
      </c>
      <c r="H13" s="4" t="s">
        <v>21</v>
      </c>
      <c r="I13" s="4" t="s">
        <v>21</v>
      </c>
      <c r="J13" s="4">
        <v>-1.3</v>
      </c>
      <c r="K13" s="4" t="s">
        <v>21</v>
      </c>
      <c r="L13" s="4" t="s">
        <v>21</v>
      </c>
      <c r="M13" s="4"/>
      <c r="N13" s="4">
        <v>0.31</v>
      </c>
      <c r="O13" s="6">
        <f>J13/1</f>
        <v>-1.3</v>
      </c>
    </row>
    <row r="14" spans="1:15" x14ac:dyDescent="0.35">
      <c r="A14" s="4">
        <v>8</v>
      </c>
      <c r="B14" s="4" t="s">
        <v>9</v>
      </c>
      <c r="C14" s="4" t="s">
        <v>21</v>
      </c>
      <c r="D14" s="4" t="s">
        <v>21</v>
      </c>
      <c r="E14" s="4" t="s">
        <v>21</v>
      </c>
      <c r="F14" s="4" t="s">
        <v>21</v>
      </c>
      <c r="G14" s="4">
        <v>-0.74</v>
      </c>
      <c r="H14" s="4">
        <v>-0.95</v>
      </c>
      <c r="I14" s="4" t="s">
        <v>21</v>
      </c>
      <c r="J14" s="4" t="s">
        <v>21</v>
      </c>
      <c r="K14" s="4" t="s">
        <v>21</v>
      </c>
      <c r="L14" s="4">
        <v>0.11</v>
      </c>
      <c r="M14" s="4"/>
      <c r="N14" s="4"/>
      <c r="O14" s="6">
        <f>G14+H14+L14/3</f>
        <v>-1.6533333333333333</v>
      </c>
    </row>
    <row r="15" spans="1:15" x14ac:dyDescent="0.35">
      <c r="A15" s="4">
        <v>9</v>
      </c>
      <c r="B15" s="4" t="s">
        <v>10</v>
      </c>
      <c r="C15" s="4" t="s">
        <v>21</v>
      </c>
      <c r="D15" s="4" t="s">
        <v>21</v>
      </c>
      <c r="E15" s="4" t="s">
        <v>21</v>
      </c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4" t="s">
        <v>21</v>
      </c>
      <c r="M15" s="4"/>
      <c r="N15" s="4"/>
      <c r="O15" s="6"/>
    </row>
    <row r="16" spans="1:15" x14ac:dyDescent="0.35">
      <c r="A16" s="4">
        <v>10</v>
      </c>
      <c r="B16" s="4" t="s">
        <v>11</v>
      </c>
      <c r="C16" s="4" t="s">
        <v>21</v>
      </c>
      <c r="D16" s="4" t="s">
        <v>21</v>
      </c>
      <c r="E16" s="4" t="s">
        <v>21</v>
      </c>
      <c r="F16" s="4" t="s">
        <v>21</v>
      </c>
      <c r="G16" s="4" t="s">
        <v>21</v>
      </c>
      <c r="H16" s="4">
        <v>-0.53</v>
      </c>
      <c r="I16" s="4" t="s">
        <v>21</v>
      </c>
      <c r="J16" s="4" t="s">
        <v>21</v>
      </c>
      <c r="K16" s="4" t="s">
        <v>21</v>
      </c>
      <c r="L16" s="4" t="s">
        <v>21</v>
      </c>
      <c r="M16" s="4"/>
      <c r="N16" s="4"/>
      <c r="O16" s="6">
        <f>H16/1</f>
        <v>-0.53</v>
      </c>
    </row>
    <row r="17" spans="1:15" x14ac:dyDescent="0.35">
      <c r="A17" s="4">
        <v>11</v>
      </c>
      <c r="B17" s="4" t="s">
        <v>12</v>
      </c>
      <c r="C17" s="4" t="s">
        <v>21</v>
      </c>
      <c r="D17" s="4" t="s">
        <v>21</v>
      </c>
      <c r="E17" s="4" t="s">
        <v>21</v>
      </c>
      <c r="F17" s="4">
        <v>-0.4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21</v>
      </c>
      <c r="M17" s="4"/>
      <c r="N17" s="4"/>
      <c r="O17" s="6">
        <f>F17/1</f>
        <v>-0.4</v>
      </c>
    </row>
    <row r="18" spans="1:15" x14ac:dyDescent="0.35">
      <c r="A18" s="4">
        <v>12</v>
      </c>
      <c r="B18" s="4" t="s">
        <v>13</v>
      </c>
      <c r="C18" s="4" t="s">
        <v>21</v>
      </c>
      <c r="D18" s="4" t="s">
        <v>21</v>
      </c>
      <c r="E18" s="4" t="s">
        <v>21</v>
      </c>
      <c r="F18" s="4" t="s">
        <v>21</v>
      </c>
      <c r="G18" s="4">
        <v>1.02</v>
      </c>
      <c r="H18" s="4" t="s">
        <v>21</v>
      </c>
      <c r="I18" s="4" t="s">
        <v>21</v>
      </c>
      <c r="J18" s="4" t="s">
        <v>21</v>
      </c>
      <c r="K18" s="4" t="s">
        <v>21</v>
      </c>
      <c r="L18" s="4" t="s">
        <v>21</v>
      </c>
      <c r="M18" s="4"/>
      <c r="N18" s="4"/>
      <c r="O18" s="6">
        <f>G18/1</f>
        <v>1.02</v>
      </c>
    </row>
    <row r="19" spans="1:15" x14ac:dyDescent="0.35">
      <c r="A19" s="4">
        <v>13</v>
      </c>
      <c r="B19" s="4" t="s">
        <v>14</v>
      </c>
      <c r="C19" s="4" t="s">
        <v>21</v>
      </c>
      <c r="D19" s="4" t="s">
        <v>21</v>
      </c>
      <c r="E19" s="4" t="s">
        <v>21</v>
      </c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/>
      <c r="N19" s="4"/>
      <c r="O19" s="6"/>
    </row>
    <row r="20" spans="1:15" x14ac:dyDescent="0.35">
      <c r="A20" s="4">
        <v>14</v>
      </c>
      <c r="B20" s="4" t="s">
        <v>15</v>
      </c>
      <c r="C20" s="4" t="s">
        <v>21</v>
      </c>
      <c r="D20" s="4" t="s">
        <v>21</v>
      </c>
      <c r="E20" s="4" t="s">
        <v>21</v>
      </c>
      <c r="F20" s="4" t="s">
        <v>21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4"/>
      <c r="N20" s="4"/>
      <c r="O20" s="6"/>
    </row>
    <row r="21" spans="1:15" x14ac:dyDescent="0.35">
      <c r="A21" s="4">
        <v>15</v>
      </c>
      <c r="B21" s="4" t="s">
        <v>17</v>
      </c>
      <c r="C21" s="4" t="s">
        <v>21</v>
      </c>
      <c r="D21" s="4" t="s">
        <v>21</v>
      </c>
      <c r="E21" s="4" t="s">
        <v>21</v>
      </c>
      <c r="F21" s="4">
        <v>2.73</v>
      </c>
      <c r="G21" s="4" t="s">
        <v>21</v>
      </c>
      <c r="H21" s="4" t="s">
        <v>21</v>
      </c>
      <c r="I21" s="4" t="s">
        <v>21</v>
      </c>
      <c r="J21" s="4" t="s">
        <v>21</v>
      </c>
      <c r="K21" s="4" t="s">
        <v>21</v>
      </c>
      <c r="L21" s="4" t="s">
        <v>21</v>
      </c>
      <c r="M21" s="4"/>
      <c r="N21" s="4"/>
      <c r="O21" s="6">
        <f>F21/1</f>
        <v>2.73</v>
      </c>
    </row>
    <row r="22" spans="1:15" x14ac:dyDescent="0.35">
      <c r="A22" s="4">
        <v>16</v>
      </c>
      <c r="B22" s="4" t="s">
        <v>18</v>
      </c>
      <c r="C22" s="4" t="s">
        <v>21</v>
      </c>
      <c r="D22" s="4" t="s">
        <v>21</v>
      </c>
      <c r="E22" s="4" t="s">
        <v>21</v>
      </c>
      <c r="F22" s="4" t="s">
        <v>21</v>
      </c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21</v>
      </c>
      <c r="M22" s="4"/>
      <c r="N22" s="4"/>
      <c r="O22" s="6"/>
    </row>
    <row r="23" spans="1:15" x14ac:dyDescent="0.35">
      <c r="A23" s="4">
        <v>17</v>
      </c>
      <c r="B23" s="4" t="s">
        <v>19</v>
      </c>
      <c r="C23" s="4" t="s">
        <v>21</v>
      </c>
      <c r="D23" s="4" t="s">
        <v>21</v>
      </c>
      <c r="E23" s="4" t="s">
        <v>21</v>
      </c>
      <c r="F23" s="4">
        <v>1.05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21</v>
      </c>
      <c r="M23" s="4"/>
      <c r="N23" s="4"/>
      <c r="O23" s="6">
        <f>F23/1</f>
        <v>1.05</v>
      </c>
    </row>
    <row r="24" spans="1:15" x14ac:dyDescent="0.35">
      <c r="A24" s="4">
        <v>18</v>
      </c>
      <c r="B24" s="4" t="s">
        <v>20</v>
      </c>
      <c r="C24" s="4" t="s">
        <v>21</v>
      </c>
      <c r="D24" s="4" t="s">
        <v>21</v>
      </c>
      <c r="E24" s="4" t="s">
        <v>21</v>
      </c>
      <c r="F24" s="4" t="s">
        <v>21</v>
      </c>
      <c r="G24" s="4" t="s">
        <v>21</v>
      </c>
      <c r="H24" s="4" t="s">
        <v>21</v>
      </c>
      <c r="I24" s="4" t="s">
        <v>21</v>
      </c>
      <c r="J24" s="4" t="s">
        <v>21</v>
      </c>
      <c r="K24" s="4" t="s">
        <v>21</v>
      </c>
      <c r="L24" s="4" t="s">
        <v>21</v>
      </c>
      <c r="M24" s="4"/>
      <c r="N24" s="4"/>
      <c r="O24" s="6"/>
    </row>
    <row r="25" spans="1:15" x14ac:dyDescent="0.35">
      <c r="A25" s="7">
        <v>19</v>
      </c>
      <c r="B25" s="7" t="s">
        <v>24</v>
      </c>
      <c r="C25" s="7" t="s">
        <v>21</v>
      </c>
      <c r="D25" s="7" t="s">
        <v>21</v>
      </c>
      <c r="E25" s="7" t="s">
        <v>21</v>
      </c>
      <c r="F25" s="7" t="s">
        <v>21</v>
      </c>
      <c r="G25" s="7" t="s">
        <v>21</v>
      </c>
      <c r="H25" s="7" t="s">
        <v>21</v>
      </c>
      <c r="I25" s="7" t="s">
        <v>21</v>
      </c>
      <c r="J25" s="7" t="s">
        <v>21</v>
      </c>
      <c r="K25" s="7" t="s">
        <v>21</v>
      </c>
      <c r="L25" s="7" t="s">
        <v>21</v>
      </c>
      <c r="M25" s="6">
        <v>0.04</v>
      </c>
      <c r="N25" s="6"/>
      <c r="O25" s="6">
        <f>M25/1</f>
        <v>0.04</v>
      </c>
    </row>
  </sheetData>
  <mergeCells count="6">
    <mergeCell ref="C5:O5"/>
    <mergeCell ref="B5:B6"/>
    <mergeCell ref="A5:A6"/>
    <mergeCell ref="A4:M4"/>
    <mergeCell ref="A1:M1"/>
    <mergeCell ref="A2:O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B4CB-FBCF-4525-BFEC-C9374316F937}">
  <dimension ref="A1:M24"/>
  <sheetViews>
    <sheetView tabSelected="1" workbookViewId="0">
      <selection activeCell="D7" sqref="D7"/>
    </sheetView>
  </sheetViews>
  <sheetFormatPr defaultRowHeight="15.5" x14ac:dyDescent="0.35"/>
  <cols>
    <col min="2" max="2" width="11.83203125" bestFit="1" customWidth="1"/>
  </cols>
  <sheetData>
    <row r="1" spans="1:13" x14ac:dyDescent="0.3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5">
      <c r="A2" s="17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x14ac:dyDescent="0.35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1:13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8.5" x14ac:dyDescent="0.45">
      <c r="A5" s="25" t="s">
        <v>0</v>
      </c>
      <c r="B5" s="25" t="s">
        <v>1</v>
      </c>
      <c r="C5" s="24" t="s">
        <v>2</v>
      </c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18.5" x14ac:dyDescent="0.45">
      <c r="A6" s="25"/>
      <c r="B6" s="25"/>
      <c r="C6" s="1">
        <v>240611</v>
      </c>
      <c r="D6" s="1">
        <v>240714</v>
      </c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4">
        <v>1</v>
      </c>
      <c r="B7" s="4" t="s">
        <v>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5">
      <c r="A8" s="4">
        <v>2</v>
      </c>
      <c r="B8" s="4" t="s">
        <v>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5">
      <c r="A9" s="4">
        <v>3</v>
      </c>
      <c r="B9" s="4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5">
      <c r="A10" s="4">
        <v>4</v>
      </c>
      <c r="B10" s="4" t="s">
        <v>6</v>
      </c>
      <c r="C10" s="4">
        <v>0.77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5">
      <c r="A11" s="4">
        <v>5</v>
      </c>
      <c r="B11" s="4" t="s">
        <v>5</v>
      </c>
      <c r="C11" s="4">
        <v>-1.2</v>
      </c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5">
      <c r="A12" s="4">
        <v>6</v>
      </c>
      <c r="B12" s="4" t="s">
        <v>16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5">
      <c r="A13" s="4">
        <v>7</v>
      </c>
      <c r="B13" s="4" t="s">
        <v>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5">
      <c r="A14" s="4">
        <v>8</v>
      </c>
      <c r="B14" s="4" t="s">
        <v>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5">
      <c r="A15" s="4">
        <v>9</v>
      </c>
      <c r="B15" s="4" t="s">
        <v>10</v>
      </c>
      <c r="C15" s="4">
        <v>-0.26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5">
      <c r="A16" s="4">
        <v>10</v>
      </c>
      <c r="B16" s="4" t="s">
        <v>11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5">
      <c r="A17" s="4">
        <v>11</v>
      </c>
      <c r="B17" s="4" t="s">
        <v>12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5">
      <c r="A18" s="4">
        <v>12</v>
      </c>
      <c r="B18" s="4" t="s">
        <v>13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5">
      <c r="A19" s="4">
        <v>13</v>
      </c>
      <c r="B19" s="4" t="s">
        <v>14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5">
      <c r="A20" s="4">
        <v>14</v>
      </c>
      <c r="B20" s="4" t="s">
        <v>15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5">
      <c r="A21" s="4">
        <v>15</v>
      </c>
      <c r="B21" s="4" t="s">
        <v>17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5">
      <c r="A22" s="4">
        <v>16</v>
      </c>
      <c r="B22" s="4" t="s">
        <v>18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5">
      <c r="A23" s="4">
        <v>17</v>
      </c>
      <c r="B23" s="4" t="s">
        <v>19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5">
      <c r="A24" s="4">
        <v>18</v>
      </c>
      <c r="B24" s="4" t="s">
        <v>20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</sheetData>
  <mergeCells count="6">
    <mergeCell ref="A1:M1"/>
    <mergeCell ref="A2:M3"/>
    <mergeCell ref="A4:M4"/>
    <mergeCell ref="C5:M5"/>
    <mergeCell ref="B5:B6"/>
    <mergeCell ref="A5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Tabish amin</dc:creator>
  <cp:lastModifiedBy>dell e5440</cp:lastModifiedBy>
  <cp:lastPrinted>2024-07-03T07:40:59Z</cp:lastPrinted>
  <dcterms:created xsi:type="dcterms:W3CDTF">2023-11-25T10:04:10Z</dcterms:created>
  <dcterms:modified xsi:type="dcterms:W3CDTF">2024-08-19T07:24:26Z</dcterms:modified>
</cp:coreProperties>
</file>