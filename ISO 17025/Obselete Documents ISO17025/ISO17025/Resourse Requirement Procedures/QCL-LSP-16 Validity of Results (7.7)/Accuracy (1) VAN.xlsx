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drawings/drawing7.xml" ContentType="application/vnd.openxmlformats-officedocument.drawing+xml"/>
  <Override PartName="/xl/charts/chart2.xml" ContentType="application/vnd.openxmlformats-officedocument.drawingml.chart+xml"/>
  <Override PartName="/xl/drawings/drawing8.xml" ContentType="application/vnd.openxmlformats-officedocument.drawing+xml"/>
  <Override PartName="/xl/charts/chart3.xml" ContentType="application/vnd.openxmlformats-officedocument.drawingml.chart+xml"/>
  <Override PartName="/xl/drawings/drawing9.xml" ContentType="application/vnd.openxmlformats-officedocument.drawing+xml"/>
  <Override PartName="/xl/charts/chart4.xml" ContentType="application/vnd.openxmlformats-officedocument.drawingml.chart+xml"/>
  <Override PartName="/xl/drawings/drawing10.xml" ContentType="application/vnd.openxmlformats-officedocument.drawing+xml"/>
  <Override PartName="/xl/charts/chart5.xml" ContentType="application/vnd.openxmlformats-officedocument.drawingml.chart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drawings/drawing12.xml" ContentType="application/vnd.openxmlformats-officedocument.drawing+xml"/>
  <Override PartName="/xl/charts/chart7.xml" ContentType="application/vnd.openxmlformats-officedocument.drawingml.chart+xml"/>
  <Override PartName="/xl/drawings/drawing13.xml" ContentType="application/vnd.openxmlformats-officedocument.drawing+xml"/>
  <Override PartName="/xl/charts/chart8.xml" ContentType="application/vnd.openxmlformats-officedocument.drawingml.chart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 e5440\Dropbox\ISO17025\Validity of Results (7.7)\"/>
    </mc:Choice>
  </mc:AlternateContent>
  <xr:revisionPtr revIDLastSave="0" documentId="13_ncr:1_{67AD7870-1664-4190-82B2-25452CD26A68}" xr6:coauthVersionLast="45" xr6:coauthVersionMax="45" xr10:uidLastSave="{00000000-0000-0000-0000-000000000000}"/>
  <bookViews>
    <workbookView xWindow="20" yWindow="20" windowWidth="19180" windowHeight="10180" firstSheet="4" activeTab="6" xr2:uid="{00000000-000D-0000-FFFF-FFFF00000000}"/>
  </bookViews>
  <sheets>
    <sheet name="Sheet2" sheetId="2" r:id="rId1"/>
    <sheet name="Sheet1" sheetId="3" r:id="rId2"/>
    <sheet name="Sheet1 (2)" sheetId="4" r:id="rId3"/>
    <sheet name="Sheet1 (3)" sheetId="5" r:id="rId4"/>
    <sheet name="Accuracy 22" sheetId="6" r:id="rId5"/>
    <sheet name="Sheet3" sheetId="7" r:id="rId6"/>
    <sheet name="Sheet3 (2)" sheetId="8" r:id="rId7"/>
    <sheet name="Sheet3 (3)" sheetId="9" r:id="rId8"/>
    <sheet name="21" sheetId="10" r:id="rId9"/>
    <sheet name="22" sheetId="11" r:id="rId10"/>
    <sheet name="TA ph22" sheetId="12" r:id="rId11"/>
    <sheet name="21 (2)" sheetId="13" r:id="rId12"/>
    <sheet name="21 (3)" sheetId="14" r:id="rId13"/>
    <sheet name="TA22 (F)" sheetId="15" r:id="rId14"/>
  </sheets>
  <calcPr calcId="191029"/>
</workbook>
</file>

<file path=xl/calcChain.xml><?xml version="1.0" encoding="utf-8"?>
<calcChain xmlns="http://schemas.openxmlformats.org/spreadsheetml/2006/main">
  <c r="G15" i="6" l="1"/>
  <c r="G14" i="5"/>
  <c r="H14" i="5" s="1"/>
  <c r="G14" i="4"/>
  <c r="H14" i="4" s="1"/>
  <c r="G15" i="2" l="1"/>
</calcChain>
</file>

<file path=xl/sharedStrings.xml><?xml version="1.0" encoding="utf-8"?>
<sst xmlns="http://schemas.openxmlformats.org/spreadsheetml/2006/main" count="343" uniqueCount="87">
  <si>
    <t>Accuracy</t>
  </si>
  <si>
    <t>Test Title</t>
  </si>
  <si>
    <t>Test Method</t>
  </si>
  <si>
    <t>Method Reference</t>
  </si>
  <si>
    <t>Sample</t>
  </si>
  <si>
    <t>Equipment</t>
  </si>
  <si>
    <t>Titration Method</t>
  </si>
  <si>
    <t>S #</t>
  </si>
  <si>
    <t xml:space="preserve">                                                         </t>
  </si>
  <si>
    <t xml:space="preserve">                                                       </t>
  </si>
  <si>
    <t>Prepared by QCM</t>
  </si>
  <si>
    <t>Calculated value</t>
  </si>
  <si>
    <t>CRM</t>
  </si>
  <si>
    <t>Total hardness</t>
  </si>
  <si>
    <t>Accuracy Caluculation sheet</t>
  </si>
  <si>
    <t>Deviation</t>
  </si>
  <si>
    <t>Date</t>
  </si>
  <si>
    <t>pH</t>
  </si>
  <si>
    <t>APHA</t>
  </si>
  <si>
    <t>Revision: 00</t>
  </si>
  <si>
    <t>Doc. MS-Lab-F-</t>
  </si>
  <si>
    <t>Issued: 15-03-2019</t>
  </si>
  <si>
    <t>Issue#00</t>
  </si>
  <si>
    <t>APHA-23rd Edition</t>
  </si>
  <si>
    <t>Lab Code: PT MI-01/2020-M48</t>
  </si>
  <si>
    <t xml:space="preserve">pH meter </t>
  </si>
  <si>
    <t>15/2/2021</t>
  </si>
  <si>
    <t>Doc. MS-LAB-F-</t>
  </si>
  <si>
    <t>Lab Code:PT MI-01/2020-M48</t>
  </si>
  <si>
    <t>PT</t>
  </si>
  <si>
    <t>Prepared by: AQCM</t>
  </si>
  <si>
    <t>Approved by: QCM</t>
  </si>
  <si>
    <t>ed By: AQCM</t>
  </si>
  <si>
    <t>Approved by QCM</t>
  </si>
  <si>
    <t xml:space="preserve">Calcium </t>
  </si>
  <si>
    <t xml:space="preserve">titration </t>
  </si>
  <si>
    <t xml:space="preserve">Fluoride </t>
  </si>
  <si>
    <t>SPAND</t>
  </si>
  <si>
    <t>8029 18th edition</t>
  </si>
  <si>
    <t>photometer</t>
  </si>
  <si>
    <t>Doc. MS-LAB-F-81</t>
  </si>
  <si>
    <t>7.57-7.53</t>
  </si>
  <si>
    <t>Doc. MS-Lab-F-81</t>
  </si>
  <si>
    <t>Doc#</t>
  </si>
  <si>
    <t>Ms-LAB-F-81</t>
  </si>
  <si>
    <t>Issue dt</t>
  </si>
  <si>
    <t>15-03-2019</t>
  </si>
  <si>
    <t>Issue#</t>
  </si>
  <si>
    <t>Page#</t>
  </si>
  <si>
    <t>Total Hardness</t>
  </si>
  <si>
    <t xml:space="preserve">PT </t>
  </si>
  <si>
    <t>Test Title:</t>
  </si>
  <si>
    <t>Sample Type:</t>
  </si>
  <si>
    <t>APHA-2340</t>
  </si>
  <si>
    <t>Date:</t>
  </si>
  <si>
    <t xml:space="preserve">       Standard</t>
  </si>
  <si>
    <t xml:space="preserve">   214-93-223.07</t>
  </si>
  <si>
    <t>R1</t>
  </si>
  <si>
    <t>R2</t>
  </si>
  <si>
    <t>R3</t>
  </si>
  <si>
    <t>R4</t>
  </si>
  <si>
    <t>R5</t>
  </si>
  <si>
    <t>R6</t>
  </si>
  <si>
    <t>R7</t>
  </si>
  <si>
    <t>Average:</t>
  </si>
  <si>
    <t>ppm</t>
  </si>
  <si>
    <t xml:space="preserve">Accuracy </t>
  </si>
  <si>
    <t>Specificity</t>
  </si>
  <si>
    <t>Precision</t>
  </si>
  <si>
    <t>Total Hardness Trend Analysis</t>
  </si>
  <si>
    <t>Value</t>
  </si>
  <si>
    <t xml:space="preserve">years </t>
  </si>
  <si>
    <t>Prepare by: Minhas Azeem</t>
  </si>
  <si>
    <t>QCM/MR</t>
  </si>
  <si>
    <t>Prepared by:MinhasAzeem</t>
  </si>
  <si>
    <t>APHA 4500-H+</t>
  </si>
  <si>
    <t xml:space="preserve">   7.57-7.63</t>
  </si>
  <si>
    <t>pH Trend Analysis</t>
  </si>
  <si>
    <t>Fluoride</t>
  </si>
  <si>
    <t xml:space="preserve">  0.21-0.27</t>
  </si>
  <si>
    <t>0.25ppm</t>
  </si>
  <si>
    <t>0.29ppm</t>
  </si>
  <si>
    <t>Fluoride Trend Analysis</t>
  </si>
  <si>
    <t>SPANDS</t>
  </si>
  <si>
    <t>Method of Verification Data Analysis Sheet</t>
  </si>
  <si>
    <t>15-03-2023</t>
  </si>
  <si>
    <t>VAN-LAB-F-030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</si>
</sst>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Garamond"/>
      <family val="1"/>
    </font>
    <font>
      <b/>
      <sz val="16"/>
      <name val="Garamond"/>
      <family val="1"/>
    </font>
    <font>
      <b/>
      <sz val="12"/>
      <color rgb="FFFF0000"/>
      <name val="Garamond"/>
      <family val="1"/>
    </font>
    <font>
      <sz val="12"/>
      <name val="Garamond"/>
      <family val="1"/>
    </font>
    <font>
      <b/>
      <sz val="12"/>
      <name val="Garamond"/>
      <family val="1"/>
    </font>
    <font>
      <u/>
      <sz val="10"/>
      <name val="Garamond"/>
      <family val="1"/>
    </font>
    <font>
      <sz val="10"/>
      <name val="Garamond"/>
      <family val="1"/>
    </font>
    <font>
      <b/>
      <sz val="12"/>
      <color theme="1"/>
      <name val="Calibri"/>
      <family val="2"/>
      <scheme val="minor"/>
    </font>
    <font>
      <b/>
      <sz val="10"/>
      <name val="Garamond"/>
      <family val="1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147">
    <xf numFmtId="0" fontId="0" fillId="0" borderId="0" xfId="0"/>
    <xf numFmtId="0" fontId="5" fillId="0" borderId="0" xfId="1" applyFont="1"/>
    <xf numFmtId="0" fontId="1" fillId="0" borderId="0" xfId="1"/>
    <xf numFmtId="0" fontId="6" fillId="0" borderId="0" xfId="1" applyFont="1" applyBorder="1" applyAlignment="1">
      <alignment vertical="center"/>
    </xf>
    <xf numFmtId="0" fontId="5" fillId="0" borderId="0" xfId="1" applyFont="1" applyBorder="1" applyAlignment="1"/>
    <xf numFmtId="0" fontId="4" fillId="0" borderId="0" xfId="1" applyFont="1" applyBorder="1" applyAlignment="1"/>
    <xf numFmtId="0" fontId="4" fillId="0" borderId="0" xfId="1" applyFont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6" fillId="0" borderId="0" xfId="1" applyFont="1" applyFill="1" applyBorder="1" applyAlignment="1">
      <alignment vertical="center"/>
    </xf>
    <xf numFmtId="0" fontId="6" fillId="2" borderId="4" xfId="1" applyFont="1" applyFill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6" fillId="0" borderId="0" xfId="1" applyFont="1" applyFill="1" applyBorder="1" applyAlignment="1">
      <alignment horizontal="center" vertical="center"/>
    </xf>
    <xf numFmtId="0" fontId="5" fillId="0" borderId="0" xfId="1" applyFont="1" applyBorder="1" applyAlignment="1">
      <alignment horizontal="left" vertical="center"/>
    </xf>
    <xf numFmtId="0" fontId="5" fillId="0" borderId="0" xfId="1" applyFont="1" applyFill="1" applyBorder="1" applyAlignment="1">
      <alignment horizontal="center" vertical="center"/>
    </xf>
    <xf numFmtId="0" fontId="0" fillId="0" borderId="0" xfId="0" applyAlignment="1"/>
    <xf numFmtId="0" fontId="7" fillId="0" borderId="0" xfId="1" applyFont="1" applyAlignment="1">
      <alignment horizontal="left" vertical="center"/>
    </xf>
    <xf numFmtId="0" fontId="8" fillId="0" borderId="0" xfId="1" applyFont="1" applyFill="1" applyBorder="1" applyAlignment="1">
      <alignment horizontal="left"/>
    </xf>
    <xf numFmtId="0" fontId="7" fillId="0" borderId="0" xfId="1" applyFont="1" applyAlignment="1">
      <alignment horizontal="right" vertical="center"/>
    </xf>
    <xf numFmtId="0" fontId="5" fillId="0" borderId="0" xfId="1" applyFont="1" applyAlignment="1">
      <alignment horizontal="right" vertical="center"/>
    </xf>
    <xf numFmtId="0" fontId="0" fillId="2" borderId="4" xfId="0" applyFill="1" applyBorder="1"/>
    <xf numFmtId="0" fontId="0" fillId="0" borderId="4" xfId="0" applyBorder="1"/>
    <xf numFmtId="0" fontId="6" fillId="2" borderId="11" xfId="1" applyFont="1" applyFill="1" applyBorder="1" applyAlignment="1">
      <alignment horizontal="center" vertical="center"/>
    </xf>
    <xf numFmtId="0" fontId="6" fillId="0" borderId="0" xfId="1" applyFont="1" applyBorder="1" applyAlignment="1">
      <alignment vertical="center"/>
    </xf>
    <xf numFmtId="0" fontId="6" fillId="0" borderId="11" xfId="1" applyFont="1" applyBorder="1" applyAlignment="1">
      <alignment horizontal="center" vertical="center"/>
    </xf>
    <xf numFmtId="14" fontId="6" fillId="0" borderId="11" xfId="1" applyNumberFormat="1" applyFont="1" applyBorder="1" applyAlignment="1">
      <alignment horizontal="center" vertical="center"/>
    </xf>
    <xf numFmtId="0" fontId="0" fillId="0" borderId="1" xfId="0" applyBorder="1"/>
    <xf numFmtId="0" fontId="0" fillId="0" borderId="0" xfId="0" applyBorder="1"/>
    <xf numFmtId="0" fontId="0" fillId="0" borderId="7" xfId="0" applyBorder="1"/>
    <xf numFmtId="0" fontId="0" fillId="0" borderId="5" xfId="0" applyBorder="1"/>
    <xf numFmtId="0" fontId="0" fillId="0" borderId="5" xfId="0" applyBorder="1" applyAlignment="1"/>
    <xf numFmtId="0" fontId="9" fillId="0" borderId="2" xfId="0" applyFont="1" applyBorder="1"/>
    <xf numFmtId="0" fontId="9" fillId="0" borderId="5" xfId="0" applyFont="1" applyBorder="1"/>
    <xf numFmtId="0" fontId="6" fillId="0" borderId="0" xfId="1" applyFont="1" applyBorder="1" applyAlignment="1">
      <alignment vertical="center"/>
    </xf>
    <xf numFmtId="0" fontId="6" fillId="2" borderId="11" xfId="1" applyFont="1" applyFill="1" applyBorder="1" applyAlignment="1">
      <alignment horizontal="center" vertical="center"/>
    </xf>
    <xf numFmtId="0" fontId="6" fillId="0" borderId="0" xfId="1" applyFont="1" applyBorder="1" applyAlignment="1">
      <alignment vertical="center"/>
    </xf>
    <xf numFmtId="0" fontId="10" fillId="2" borderId="4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0" fontId="6" fillId="0" borderId="0" xfId="1" applyFont="1" applyBorder="1" applyAlignment="1">
      <alignment vertical="center"/>
    </xf>
    <xf numFmtId="0" fontId="9" fillId="0" borderId="0" xfId="0" applyFont="1" applyBorder="1"/>
    <xf numFmtId="0" fontId="0" fillId="0" borderId="0" xfId="0" applyBorder="1" applyAlignment="1"/>
    <xf numFmtId="0" fontId="9" fillId="0" borderId="0" xfId="0" applyFont="1" applyBorder="1" applyAlignment="1">
      <alignment horizontal="center"/>
    </xf>
    <xf numFmtId="10" fontId="0" fillId="6" borderId="0" xfId="0" applyNumberFormat="1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5" fillId="0" borderId="0" xfId="1" applyFont="1" applyBorder="1"/>
    <xf numFmtId="0" fontId="5" fillId="0" borderId="4" xfId="1" applyFont="1" applyBorder="1"/>
    <xf numFmtId="0" fontId="5" fillId="0" borderId="4" xfId="1" applyFont="1" applyBorder="1" applyAlignment="1">
      <alignment horizontal="left"/>
    </xf>
    <xf numFmtId="0" fontId="6" fillId="0" borderId="0" xfId="1" applyFont="1" applyBorder="1" applyAlignment="1">
      <alignment horizontal="center" vertical="center"/>
    </xf>
    <xf numFmtId="14" fontId="6" fillId="0" borderId="0" xfId="1" applyNumberFormat="1" applyFont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Fill="1" applyBorder="1"/>
    <xf numFmtId="0" fontId="11" fillId="0" borderId="4" xfId="0" applyFont="1" applyBorder="1" applyAlignment="1"/>
    <xf numFmtId="0" fontId="11" fillId="0" borderId="4" xfId="0" applyFont="1" applyBorder="1" applyAlignment="1">
      <alignment horizontal="center"/>
    </xf>
    <xf numFmtId="0" fontId="11" fillId="0" borderId="0" xfId="0" applyFont="1"/>
    <xf numFmtId="0" fontId="0" fillId="0" borderId="15" xfId="0" applyBorder="1"/>
    <xf numFmtId="10" fontId="0" fillId="0" borderId="0" xfId="0" applyNumberFormat="1"/>
    <xf numFmtId="0" fontId="11" fillId="0" borderId="0" xfId="0" applyFont="1" applyAlignment="1">
      <alignment horizontal="center"/>
    </xf>
    <xf numFmtId="10" fontId="0" fillId="0" borderId="0" xfId="0" applyNumberFormat="1" applyBorder="1"/>
    <xf numFmtId="0" fontId="0" fillId="0" borderId="0" xfId="0" applyFill="1" applyBorder="1"/>
    <xf numFmtId="0" fontId="0" fillId="0" borderId="11" xfId="0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10" fontId="0" fillId="4" borderId="11" xfId="0" applyNumberFormat="1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10" fontId="0" fillId="5" borderId="11" xfId="0" applyNumberForma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10" fontId="0" fillId="3" borderId="11" xfId="0" applyNumberForma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5" fillId="0" borderId="10" xfId="1" applyFont="1" applyBorder="1" applyAlignment="1">
      <alignment horizont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5" fillId="0" borderId="11" xfId="1" applyFont="1" applyBorder="1" applyAlignment="1">
      <alignment horizontal="left" vertical="center"/>
    </xf>
    <xf numFmtId="0" fontId="5" fillId="0" borderId="12" xfId="1" applyFont="1" applyBorder="1" applyAlignment="1">
      <alignment horizontal="left" vertical="center"/>
    </xf>
    <xf numFmtId="0" fontId="5" fillId="0" borderId="7" xfId="1" applyFont="1" applyBorder="1" applyAlignment="1">
      <alignment horizontal="center"/>
    </xf>
    <xf numFmtId="0" fontId="6" fillId="0" borderId="0" xfId="1" applyFont="1" applyBorder="1" applyAlignment="1">
      <alignment vertical="center"/>
    </xf>
    <xf numFmtId="0" fontId="2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0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0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center" wrapText="1"/>
    </xf>
    <xf numFmtId="0" fontId="5" fillId="0" borderId="4" xfId="1" applyFont="1" applyBorder="1" applyAlignment="1">
      <alignment horizontal="left" vertical="center" wrapText="1"/>
    </xf>
    <xf numFmtId="0" fontId="6" fillId="0" borderId="10" xfId="1" applyFont="1" applyBorder="1" applyAlignment="1">
      <alignment horizontal="center"/>
    </xf>
    <xf numFmtId="10" fontId="0" fillId="6" borderId="0" xfId="0" applyNumberFormat="1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5" fillId="0" borderId="0" xfId="1" applyFont="1" applyBorder="1" applyAlignment="1">
      <alignment horizontal="left" vertical="center"/>
    </xf>
    <xf numFmtId="0" fontId="9" fillId="0" borderId="0" xfId="0" applyFont="1" applyBorder="1" applyAlignment="1">
      <alignment horizontal="center"/>
    </xf>
    <xf numFmtId="10" fontId="0" fillId="6" borderId="11" xfId="0" applyNumberFormat="1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4" fontId="11" fillId="0" borderId="0" xfId="0" applyNumberFormat="1" applyFont="1" applyAlignment="1">
      <alignment horizontal="center"/>
    </xf>
    <xf numFmtId="0" fontId="11" fillId="0" borderId="11" xfId="0" applyFont="1" applyBorder="1" applyAlignment="1"/>
    <xf numFmtId="0" fontId="11" fillId="0" borderId="12" xfId="0" applyFont="1" applyBorder="1" applyAlignment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10" fontId="0" fillId="0" borderId="14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2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1" fillId="0" borderId="11" xfId="0" applyFont="1" applyBorder="1" applyAlignment="1">
      <alignment horizontal="center"/>
    </xf>
    <xf numFmtId="0" fontId="11" fillId="0" borderId="12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Sheet3!$B$14</c:f>
              <c:strCache>
                <c:ptCount val="1"/>
                <c:pt idx="0">
                  <c:v>   214-93-223.07</c:v>
                </c:pt>
              </c:strCache>
            </c:strRef>
          </c:tx>
          <c:marker>
            <c:symbol val="none"/>
          </c:marker>
          <c:cat>
            <c:strRef>
              <c:f>Sheet3!$C$13:$J$13</c:f>
              <c:strCache>
                <c:ptCount val="8"/>
                <c:pt idx="1">
                  <c:v>R1</c:v>
                </c:pt>
                <c:pt idx="2">
                  <c:v>R2</c:v>
                </c:pt>
                <c:pt idx="3">
                  <c:v>R3</c:v>
                </c:pt>
                <c:pt idx="4">
                  <c:v>R4</c:v>
                </c:pt>
                <c:pt idx="5">
                  <c:v>R5</c:v>
                </c:pt>
                <c:pt idx="6">
                  <c:v>R6</c:v>
                </c:pt>
                <c:pt idx="7">
                  <c:v>R7</c:v>
                </c:pt>
              </c:strCache>
            </c:strRef>
          </c:cat>
          <c:val>
            <c:numRef>
              <c:f>Sheet3!$C$14:$J$14</c:f>
              <c:numCache>
                <c:formatCode>General</c:formatCode>
                <c:ptCount val="8"/>
                <c:pt idx="1">
                  <c:v>222.2</c:v>
                </c:pt>
                <c:pt idx="2">
                  <c:v>222</c:v>
                </c:pt>
                <c:pt idx="3">
                  <c:v>222.4</c:v>
                </c:pt>
                <c:pt idx="4">
                  <c:v>221.8</c:v>
                </c:pt>
                <c:pt idx="5">
                  <c:v>221.9</c:v>
                </c:pt>
                <c:pt idx="6">
                  <c:v>222.7</c:v>
                </c:pt>
                <c:pt idx="7">
                  <c:v>222.5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29-4956-B0EF-ECE6C8A23A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725760"/>
        <c:axId val="90653440"/>
      </c:lineChart>
      <c:catAx>
        <c:axId val="88725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of test readings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90653440"/>
        <c:crosses val="autoZero"/>
        <c:auto val="1"/>
        <c:lblAlgn val="ctr"/>
        <c:lblOffset val="100"/>
        <c:noMultiLvlLbl val="0"/>
      </c:catAx>
      <c:valAx>
        <c:axId val="9065344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Standard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725760"/>
        <c:crosses val="autoZero"/>
        <c:crossBetween val="between"/>
      </c:valAx>
    </c:plotArea>
    <c:plotVisOnly val="1"/>
    <c:dispBlanksAs val="zero"/>
    <c:showDLblsOverMax val="0"/>
  </c:chart>
  <c:printSettings>
    <c:headerFooter/>
    <c:pageMargins b="0.75000000000000011" l="0.2" r="0.70000000000000007" t="0.75000000000000011" header="0.30000000000000004" footer="0.30000000000000004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'Sheet3 (2)'!$B$14</c:f>
              <c:strCache>
                <c:ptCount val="1"/>
              </c:strCache>
            </c:strRef>
          </c:tx>
          <c:marker>
            <c:symbol val="none"/>
          </c:marker>
          <c:cat>
            <c:strRef>
              <c:f>'Sheet3 (2)'!$C$13:$J$13</c:f>
              <c:strCache>
                <c:ptCount val="8"/>
                <c:pt idx="1">
                  <c:v>R1</c:v>
                </c:pt>
                <c:pt idx="2">
                  <c:v>R2</c:v>
                </c:pt>
                <c:pt idx="3">
                  <c:v>R3</c:v>
                </c:pt>
                <c:pt idx="4">
                  <c:v>R4</c:v>
                </c:pt>
                <c:pt idx="5">
                  <c:v>R5</c:v>
                </c:pt>
                <c:pt idx="6">
                  <c:v>R6</c:v>
                </c:pt>
                <c:pt idx="7">
                  <c:v>R7</c:v>
                </c:pt>
              </c:strCache>
            </c:strRef>
          </c:cat>
          <c:val>
            <c:numRef>
              <c:f>'Sheet3 (2)'!$C$14:$J$14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F9-43A5-9607-2097BFCC0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355456"/>
        <c:axId val="138357376"/>
      </c:lineChart>
      <c:catAx>
        <c:axId val="138355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of test readings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38357376"/>
        <c:crosses val="autoZero"/>
        <c:auto val="1"/>
        <c:lblAlgn val="ctr"/>
        <c:lblOffset val="100"/>
        <c:noMultiLvlLbl val="0"/>
      </c:catAx>
      <c:valAx>
        <c:axId val="1383573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Standard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8355456"/>
        <c:crosses val="autoZero"/>
        <c:crossBetween val="between"/>
      </c:valAx>
    </c:plotArea>
    <c:plotVisOnly val="1"/>
    <c:dispBlanksAs val="zero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Trend Analysis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EDA-474E-9984-42AA81F0500E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EDA-474E-9984-42AA81F0500E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EDA-474E-9984-42AA81F0500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'Sheet3 (3)'!$C$17:$C$19</c:f>
              <c:strCache>
                <c:ptCount val="3"/>
                <c:pt idx="0">
                  <c:v>years </c:v>
                </c:pt>
                <c:pt idx="1">
                  <c:v>Value</c:v>
                </c:pt>
                <c:pt idx="2">
                  <c:v>Accuracy </c:v>
                </c:pt>
              </c:strCache>
            </c:strRef>
          </c:cat>
          <c:val>
            <c:numRef>
              <c:f>'Sheet3 (3)'!$D$17:$D$19</c:f>
              <c:numCache>
                <c:formatCode>General</c:formatCode>
                <c:ptCount val="3"/>
                <c:pt idx="0">
                  <c:v>2021</c:v>
                </c:pt>
                <c:pt idx="1">
                  <c:v>222.2</c:v>
                </c:pt>
                <c:pt idx="2" formatCode="0.00%">
                  <c:v>0.996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DA-474E-9984-42AA81F0500E}"/>
            </c:ext>
          </c:extLst>
        </c:ser>
        <c:ser>
          <c:idx val="1"/>
          <c:order val="1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'Sheet3 (3)'!$C$17:$C$19</c:f>
              <c:strCache>
                <c:ptCount val="3"/>
                <c:pt idx="0">
                  <c:v>years </c:v>
                </c:pt>
                <c:pt idx="1">
                  <c:v>Value</c:v>
                </c:pt>
                <c:pt idx="2">
                  <c:v>Accuracy </c:v>
                </c:pt>
              </c:strCache>
            </c:strRef>
          </c:cat>
          <c:val>
            <c:numRef>
              <c:f>'Sheet3 (3)'!$E$17:$E$19</c:f>
              <c:numCache>
                <c:formatCode>General</c:formatCode>
                <c:ptCount val="3"/>
                <c:pt idx="0">
                  <c:v>2022</c:v>
                </c:pt>
                <c:pt idx="1">
                  <c:v>219.6</c:v>
                </c:pt>
                <c:pt idx="2" formatCode="0.00%">
                  <c:v>0.98440000000000005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DA-474E-9984-42AA81F05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90345856"/>
        <c:axId val="90347392"/>
      </c:barChart>
      <c:catAx>
        <c:axId val="903458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90347392"/>
        <c:crosses val="autoZero"/>
        <c:auto val="1"/>
        <c:lblAlgn val="ctr"/>
        <c:lblOffset val="100"/>
        <c:noMultiLvlLbl val="0"/>
      </c:catAx>
      <c:valAx>
        <c:axId val="9034739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9034585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'21'!$B$14</c:f>
              <c:strCache>
                <c:ptCount val="1"/>
                <c:pt idx="0">
                  <c:v>   7.57-7.63</c:v>
                </c:pt>
              </c:strCache>
            </c:strRef>
          </c:tx>
          <c:marker>
            <c:symbol val="none"/>
          </c:marker>
          <c:cat>
            <c:strRef>
              <c:f>'21'!$C$13:$J$13</c:f>
              <c:strCache>
                <c:ptCount val="8"/>
                <c:pt idx="1">
                  <c:v>R1</c:v>
                </c:pt>
                <c:pt idx="2">
                  <c:v>R2</c:v>
                </c:pt>
                <c:pt idx="3">
                  <c:v>R3</c:v>
                </c:pt>
                <c:pt idx="4">
                  <c:v>R4</c:v>
                </c:pt>
                <c:pt idx="5">
                  <c:v>R5</c:v>
                </c:pt>
                <c:pt idx="6">
                  <c:v>R6</c:v>
                </c:pt>
                <c:pt idx="7">
                  <c:v>R7</c:v>
                </c:pt>
              </c:strCache>
            </c:strRef>
          </c:cat>
          <c:val>
            <c:numRef>
              <c:f>'21'!$C$14:$J$14</c:f>
              <c:numCache>
                <c:formatCode>General</c:formatCode>
                <c:ptCount val="8"/>
                <c:pt idx="1">
                  <c:v>7.6</c:v>
                </c:pt>
                <c:pt idx="2">
                  <c:v>7.61</c:v>
                </c:pt>
                <c:pt idx="3">
                  <c:v>7.59</c:v>
                </c:pt>
                <c:pt idx="4">
                  <c:v>7.58</c:v>
                </c:pt>
                <c:pt idx="5">
                  <c:v>7.6</c:v>
                </c:pt>
                <c:pt idx="6">
                  <c:v>7.59</c:v>
                </c:pt>
                <c:pt idx="7">
                  <c:v>7.58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BA-4EA6-BAE5-F216A62F0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414336"/>
        <c:axId val="138420608"/>
      </c:lineChart>
      <c:catAx>
        <c:axId val="138414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of test readings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38420608"/>
        <c:crosses val="autoZero"/>
        <c:auto val="1"/>
        <c:lblAlgn val="ctr"/>
        <c:lblOffset val="100"/>
        <c:noMultiLvlLbl val="0"/>
      </c:catAx>
      <c:valAx>
        <c:axId val="1384206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Standard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8414336"/>
        <c:crosses val="autoZero"/>
        <c:crossBetween val="between"/>
      </c:valAx>
    </c:plotArea>
    <c:plotVisOnly val="1"/>
    <c:dispBlanksAs val="zero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'22'!$B$14</c:f>
              <c:strCache>
                <c:ptCount val="1"/>
                <c:pt idx="0">
                  <c:v>7.56</c:v>
                </c:pt>
              </c:strCache>
            </c:strRef>
          </c:tx>
          <c:marker>
            <c:symbol val="none"/>
          </c:marker>
          <c:cat>
            <c:strRef>
              <c:f>'22'!$C$13:$J$13</c:f>
              <c:strCache>
                <c:ptCount val="8"/>
                <c:pt idx="1">
                  <c:v>R1</c:v>
                </c:pt>
                <c:pt idx="2">
                  <c:v>R2</c:v>
                </c:pt>
                <c:pt idx="3">
                  <c:v>R3</c:v>
                </c:pt>
                <c:pt idx="4">
                  <c:v>R4</c:v>
                </c:pt>
                <c:pt idx="5">
                  <c:v>R5</c:v>
                </c:pt>
                <c:pt idx="6">
                  <c:v>R6</c:v>
                </c:pt>
                <c:pt idx="7">
                  <c:v>R7</c:v>
                </c:pt>
              </c:strCache>
            </c:strRef>
          </c:cat>
          <c:val>
            <c:numRef>
              <c:f>'22'!$C$14:$J$14</c:f>
              <c:numCache>
                <c:formatCode>General</c:formatCode>
                <c:ptCount val="8"/>
                <c:pt idx="1">
                  <c:v>7.52</c:v>
                </c:pt>
                <c:pt idx="2">
                  <c:v>7.52</c:v>
                </c:pt>
                <c:pt idx="3">
                  <c:v>7.54</c:v>
                </c:pt>
                <c:pt idx="4">
                  <c:v>7.55</c:v>
                </c:pt>
                <c:pt idx="5">
                  <c:v>7.54</c:v>
                </c:pt>
                <c:pt idx="6">
                  <c:v>7.54</c:v>
                </c:pt>
                <c:pt idx="7">
                  <c:v>7.51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DD-49A3-9C8F-052E66329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633600"/>
        <c:axId val="138635520"/>
      </c:lineChart>
      <c:catAx>
        <c:axId val="138633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of test readings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38635520"/>
        <c:crosses val="autoZero"/>
        <c:auto val="1"/>
        <c:lblAlgn val="ctr"/>
        <c:lblOffset val="100"/>
        <c:noMultiLvlLbl val="0"/>
      </c:catAx>
      <c:valAx>
        <c:axId val="1386355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Standard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8633600"/>
        <c:crosses val="autoZero"/>
        <c:crossBetween val="between"/>
      </c:valAx>
    </c:plotArea>
    <c:plotVisOnly val="1"/>
    <c:dispBlanksAs val="zero"/>
    <c:showDLblsOverMax val="0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Trend Analysis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850-476C-B23D-6185171C4C23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50-476C-B23D-6185171C4C23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50-476C-B23D-6185171C4C2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 ph22'!$C$17:$C$19</c:f>
              <c:strCache>
                <c:ptCount val="3"/>
                <c:pt idx="0">
                  <c:v>years </c:v>
                </c:pt>
                <c:pt idx="1">
                  <c:v>Value</c:v>
                </c:pt>
                <c:pt idx="2">
                  <c:v>Accuracy </c:v>
                </c:pt>
              </c:strCache>
            </c:strRef>
          </c:cat>
          <c:val>
            <c:numRef>
              <c:f>'TA ph22'!$D$17:$D$19</c:f>
              <c:numCache>
                <c:formatCode>General</c:formatCode>
                <c:ptCount val="3"/>
                <c:pt idx="0">
                  <c:v>2021</c:v>
                </c:pt>
                <c:pt idx="1">
                  <c:v>7.63</c:v>
                </c:pt>
                <c:pt idx="2" formatCode="0.00%">
                  <c:v>0.996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50-476C-B23D-6185171C4C23}"/>
            </c:ext>
          </c:extLst>
        </c:ser>
        <c:ser>
          <c:idx val="1"/>
          <c:order val="1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 ph22'!$C$17:$C$19</c:f>
              <c:strCache>
                <c:ptCount val="3"/>
                <c:pt idx="0">
                  <c:v>years </c:v>
                </c:pt>
                <c:pt idx="1">
                  <c:v>Value</c:v>
                </c:pt>
                <c:pt idx="2">
                  <c:v>Accuracy </c:v>
                </c:pt>
              </c:strCache>
            </c:strRef>
          </c:cat>
          <c:val>
            <c:numRef>
              <c:f>'TA ph22'!$E$17:$E$19</c:f>
              <c:numCache>
                <c:formatCode>General</c:formatCode>
                <c:ptCount val="3"/>
                <c:pt idx="0">
                  <c:v>2022</c:v>
                </c:pt>
                <c:pt idx="1">
                  <c:v>7.53</c:v>
                </c:pt>
                <c:pt idx="2" formatCode="0.00%">
                  <c:v>0.98440000000000005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50-476C-B23D-6185171C4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38768384"/>
        <c:axId val="138769920"/>
      </c:barChart>
      <c:catAx>
        <c:axId val="1387683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38769920"/>
        <c:crosses val="autoZero"/>
        <c:auto val="1"/>
        <c:lblAlgn val="ctr"/>
        <c:lblOffset val="100"/>
        <c:noMultiLvlLbl val="0"/>
      </c:catAx>
      <c:valAx>
        <c:axId val="13876992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13876838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'21 (2)'!$B$14</c:f>
              <c:strCache>
                <c:ptCount val="1"/>
                <c:pt idx="0">
                  <c:v>  0.21-0.27</c:v>
                </c:pt>
              </c:strCache>
            </c:strRef>
          </c:tx>
          <c:marker>
            <c:symbol val="none"/>
          </c:marker>
          <c:cat>
            <c:strRef>
              <c:f>'21 (2)'!$C$13:$J$13</c:f>
              <c:strCache>
                <c:ptCount val="8"/>
                <c:pt idx="1">
                  <c:v>R1</c:v>
                </c:pt>
                <c:pt idx="2">
                  <c:v>R2</c:v>
                </c:pt>
                <c:pt idx="3">
                  <c:v>R3</c:v>
                </c:pt>
                <c:pt idx="4">
                  <c:v>R4</c:v>
                </c:pt>
                <c:pt idx="5">
                  <c:v>R5</c:v>
                </c:pt>
                <c:pt idx="6">
                  <c:v>R6</c:v>
                </c:pt>
                <c:pt idx="7">
                  <c:v>R7</c:v>
                </c:pt>
              </c:strCache>
            </c:strRef>
          </c:cat>
          <c:val>
            <c:numRef>
              <c:f>'21 (2)'!$C$14:$J$14</c:f>
              <c:numCache>
                <c:formatCode>General</c:formatCode>
                <c:ptCount val="8"/>
                <c:pt idx="1">
                  <c:v>0.25</c:v>
                </c:pt>
                <c:pt idx="2">
                  <c:v>0.26</c:v>
                </c:pt>
                <c:pt idx="3">
                  <c:v>0.24</c:v>
                </c:pt>
                <c:pt idx="4">
                  <c:v>0.25</c:v>
                </c:pt>
                <c:pt idx="5">
                  <c:v>0.26</c:v>
                </c:pt>
                <c:pt idx="6">
                  <c:v>0.25</c:v>
                </c:pt>
                <c:pt idx="7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E4-4E03-B842-1FFFD5792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285952"/>
        <c:axId val="90304512"/>
      </c:lineChart>
      <c:catAx>
        <c:axId val="90285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of test readings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90304512"/>
        <c:crosses val="autoZero"/>
        <c:auto val="1"/>
        <c:lblAlgn val="ctr"/>
        <c:lblOffset val="100"/>
        <c:noMultiLvlLbl val="0"/>
      </c:catAx>
      <c:valAx>
        <c:axId val="903045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Standard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0285952"/>
        <c:crosses val="autoZero"/>
        <c:crossBetween val="between"/>
      </c:valAx>
    </c:plotArea>
    <c:plotVisOnly val="1"/>
    <c:dispBlanksAs val="zero"/>
    <c:showDLblsOverMax val="0"/>
  </c:chart>
  <c:printSettings>
    <c:headerFooter/>
    <c:pageMargins b="0.750000000000001" l="0.70000000000000062" r="0.70000000000000062" t="0.750000000000001" header="0.30000000000000032" footer="0.30000000000000032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'21 (3)'!$B$14</c:f>
              <c:strCache>
                <c:ptCount val="1"/>
                <c:pt idx="0">
                  <c:v>  0.21-0.27</c:v>
                </c:pt>
              </c:strCache>
            </c:strRef>
          </c:tx>
          <c:marker>
            <c:symbol val="none"/>
          </c:marker>
          <c:cat>
            <c:strRef>
              <c:f>'21 (3)'!$C$13:$J$13</c:f>
              <c:strCache>
                <c:ptCount val="8"/>
                <c:pt idx="1">
                  <c:v>R1</c:v>
                </c:pt>
                <c:pt idx="2">
                  <c:v>R2</c:v>
                </c:pt>
                <c:pt idx="3">
                  <c:v>R3</c:v>
                </c:pt>
                <c:pt idx="4">
                  <c:v>R4</c:v>
                </c:pt>
                <c:pt idx="5">
                  <c:v>R5</c:v>
                </c:pt>
                <c:pt idx="6">
                  <c:v>R6</c:v>
                </c:pt>
                <c:pt idx="7">
                  <c:v>R7</c:v>
                </c:pt>
              </c:strCache>
            </c:strRef>
          </c:cat>
          <c:val>
            <c:numRef>
              <c:f>'21 (3)'!$C$14:$J$14</c:f>
              <c:numCache>
                <c:formatCode>General</c:formatCode>
                <c:ptCount val="8"/>
                <c:pt idx="1">
                  <c:v>0.3</c:v>
                </c:pt>
                <c:pt idx="2">
                  <c:v>0.28999999999999998</c:v>
                </c:pt>
                <c:pt idx="3">
                  <c:v>0.3</c:v>
                </c:pt>
                <c:pt idx="4">
                  <c:v>0.3</c:v>
                </c:pt>
                <c:pt idx="5">
                  <c:v>0.28000000000000003</c:v>
                </c:pt>
                <c:pt idx="6">
                  <c:v>0.28999999999999998</c:v>
                </c:pt>
                <c:pt idx="7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0B-49AA-927D-53D925F08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838016"/>
        <c:axId val="138839936"/>
      </c:lineChart>
      <c:catAx>
        <c:axId val="138838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of test readings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38839936"/>
        <c:crosses val="autoZero"/>
        <c:auto val="1"/>
        <c:lblAlgn val="ctr"/>
        <c:lblOffset val="100"/>
        <c:noMultiLvlLbl val="0"/>
      </c:catAx>
      <c:valAx>
        <c:axId val="1388399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Standard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8838016"/>
        <c:crosses val="autoZero"/>
        <c:crossBetween val="between"/>
      </c:valAx>
    </c:plotArea>
    <c:plotVisOnly val="1"/>
    <c:dispBlanksAs val="zero"/>
    <c:showDLblsOverMax val="0"/>
  </c:chart>
  <c:printSettings>
    <c:headerFooter/>
    <c:pageMargins b="0.75000000000000122" l="0.70000000000000062" r="0.70000000000000062" t="0.75000000000000122" header="0.30000000000000032" footer="0.30000000000000032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Trend Analysis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268-40EC-8B2C-D196C805E963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268-40EC-8B2C-D196C805E963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268-40EC-8B2C-D196C805E96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'TA22 (F)'!$C$17:$C$19</c:f>
              <c:strCache>
                <c:ptCount val="3"/>
                <c:pt idx="0">
                  <c:v>years </c:v>
                </c:pt>
                <c:pt idx="1">
                  <c:v>Value</c:v>
                </c:pt>
                <c:pt idx="2">
                  <c:v>Accuracy </c:v>
                </c:pt>
              </c:strCache>
            </c:strRef>
          </c:cat>
          <c:val>
            <c:numRef>
              <c:f>'TA22 (F)'!$D$17:$D$19</c:f>
              <c:numCache>
                <c:formatCode>General</c:formatCode>
                <c:ptCount val="3"/>
                <c:pt idx="0">
                  <c:v>2021</c:v>
                </c:pt>
                <c:pt idx="1">
                  <c:v>0.25</c:v>
                </c:pt>
                <c:pt idx="2" formatCode="0.00%">
                  <c:v>0.92500000000000004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68-40EC-8B2C-D196C805E963}"/>
            </c:ext>
          </c:extLst>
        </c:ser>
        <c:ser>
          <c:idx val="1"/>
          <c:order val="1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'TA22 (F)'!$C$17:$C$19</c:f>
              <c:strCache>
                <c:ptCount val="3"/>
                <c:pt idx="0">
                  <c:v>years </c:v>
                </c:pt>
                <c:pt idx="1">
                  <c:v>Value</c:v>
                </c:pt>
                <c:pt idx="2">
                  <c:v>Accuracy </c:v>
                </c:pt>
              </c:strCache>
            </c:strRef>
          </c:cat>
          <c:val>
            <c:numRef>
              <c:f>'TA22 (F)'!$E$17:$E$19</c:f>
              <c:numCache>
                <c:formatCode>General</c:formatCode>
                <c:ptCount val="3"/>
                <c:pt idx="0">
                  <c:v>2022</c:v>
                </c:pt>
                <c:pt idx="1">
                  <c:v>0.28999999999999998</c:v>
                </c:pt>
                <c:pt idx="2" formatCode="0.00%">
                  <c:v>0.96599999999999997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68-40EC-8B2C-D196C805E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38907008"/>
        <c:axId val="138949760"/>
      </c:barChart>
      <c:catAx>
        <c:axId val="1389070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38949760"/>
        <c:crosses val="autoZero"/>
        <c:auto val="1"/>
        <c:lblAlgn val="ctr"/>
        <c:lblOffset val="100"/>
        <c:noMultiLvlLbl val="0"/>
      </c:catAx>
      <c:valAx>
        <c:axId val="13894976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13890700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chart" Target="../charts/chart2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352425</xdr:colOff>
      <xdr:row>1</xdr:row>
      <xdr:rowOff>57150</xdr:rowOff>
    </xdr:from>
    <xdr:to>
      <xdr:col>3</xdr:col>
      <xdr:colOff>114300</xdr:colOff>
      <xdr:row>3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247650"/>
          <a:ext cx="9048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0</xdr:row>
      <xdr:rowOff>76200</xdr:rowOff>
    </xdr:from>
    <xdr:to>
      <xdr:col>3</xdr:col>
      <xdr:colOff>171450</xdr:colOff>
      <xdr:row>2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76200"/>
          <a:ext cx="9048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0</xdr:row>
      <xdr:rowOff>76200</xdr:rowOff>
    </xdr:from>
    <xdr:to>
      <xdr:col>3</xdr:col>
      <xdr:colOff>171450</xdr:colOff>
      <xdr:row>2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76200"/>
          <a:ext cx="9048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0</xdr:row>
      <xdr:rowOff>76200</xdr:rowOff>
    </xdr:from>
    <xdr:to>
      <xdr:col>3</xdr:col>
      <xdr:colOff>171450</xdr:colOff>
      <xdr:row>2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76200"/>
          <a:ext cx="9048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352425</xdr:colOff>
      <xdr:row>1</xdr:row>
      <xdr:rowOff>57150</xdr:rowOff>
    </xdr:from>
    <xdr:to>
      <xdr:col>3</xdr:col>
      <xdr:colOff>114300</xdr:colOff>
      <xdr:row>3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247650"/>
          <a:ext cx="9048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</xdr:row>
      <xdr:rowOff>161925</xdr:rowOff>
    </xdr:from>
    <xdr:to>
      <xdr:col>2</xdr:col>
      <xdr:colOff>447675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2425"/>
          <a:ext cx="9048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571501</xdr:colOff>
      <xdr:row>21</xdr:row>
      <xdr:rowOff>28575</xdr:rowOff>
    </xdr:from>
    <xdr:to>
      <xdr:col>8</xdr:col>
      <xdr:colOff>361951</xdr:colOff>
      <xdr:row>34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20</xdr:row>
      <xdr:rowOff>171450</xdr:rowOff>
    </xdr:from>
    <xdr:to>
      <xdr:col>9</xdr:col>
      <xdr:colOff>571500</xdr:colOff>
      <xdr:row>35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546100</xdr:colOff>
      <xdr:row>4</xdr:row>
      <xdr:rowOff>139700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68C8D16-2066-4D36-ADFF-D3D07E6331E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4150"/>
          <a:ext cx="1155700" cy="6921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</xdr:row>
      <xdr:rowOff>161925</xdr:rowOff>
    </xdr:from>
    <xdr:to>
      <xdr:col>2</xdr:col>
      <xdr:colOff>447675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2425"/>
          <a:ext cx="9048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76200</xdr:colOff>
      <xdr:row>20</xdr:row>
      <xdr:rowOff>66675</xdr:rowOff>
    </xdr:from>
    <xdr:to>
      <xdr:col>8</xdr:col>
      <xdr:colOff>552450</xdr:colOff>
      <xdr:row>34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</xdr:row>
      <xdr:rowOff>161925</xdr:rowOff>
    </xdr:from>
    <xdr:to>
      <xdr:col>2</xdr:col>
      <xdr:colOff>447675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2425"/>
          <a:ext cx="9048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76200</xdr:colOff>
      <xdr:row>20</xdr:row>
      <xdr:rowOff>171450</xdr:rowOff>
    </xdr:from>
    <xdr:to>
      <xdr:col>9</xdr:col>
      <xdr:colOff>571500</xdr:colOff>
      <xdr:row>35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</xdr:row>
      <xdr:rowOff>161925</xdr:rowOff>
    </xdr:from>
    <xdr:to>
      <xdr:col>2</xdr:col>
      <xdr:colOff>447675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2425"/>
          <a:ext cx="9048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76200</xdr:colOff>
      <xdr:row>20</xdr:row>
      <xdr:rowOff>171450</xdr:rowOff>
    </xdr:from>
    <xdr:to>
      <xdr:col>9</xdr:col>
      <xdr:colOff>571500</xdr:colOff>
      <xdr:row>35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</xdr:row>
      <xdr:rowOff>161925</xdr:rowOff>
    </xdr:from>
    <xdr:to>
      <xdr:col>2</xdr:col>
      <xdr:colOff>447675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2425"/>
          <a:ext cx="9048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76200</xdr:colOff>
      <xdr:row>20</xdr:row>
      <xdr:rowOff>66675</xdr:rowOff>
    </xdr:from>
    <xdr:to>
      <xdr:col>8</xdr:col>
      <xdr:colOff>552450</xdr:colOff>
      <xdr:row>34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</xdr:row>
      <xdr:rowOff>161925</xdr:rowOff>
    </xdr:from>
    <xdr:to>
      <xdr:col>2</xdr:col>
      <xdr:colOff>447675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2425"/>
          <a:ext cx="9048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76200</xdr:colOff>
      <xdr:row>20</xdr:row>
      <xdr:rowOff>171450</xdr:rowOff>
    </xdr:from>
    <xdr:to>
      <xdr:col>9</xdr:col>
      <xdr:colOff>571500</xdr:colOff>
      <xdr:row>35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</xdr:row>
      <xdr:rowOff>161925</xdr:rowOff>
    </xdr:from>
    <xdr:to>
      <xdr:col>2</xdr:col>
      <xdr:colOff>447675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2425"/>
          <a:ext cx="9048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76200</xdr:colOff>
      <xdr:row>20</xdr:row>
      <xdr:rowOff>171450</xdr:rowOff>
    </xdr:from>
    <xdr:to>
      <xdr:col>9</xdr:col>
      <xdr:colOff>571500</xdr:colOff>
      <xdr:row>35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</xdr:row>
      <xdr:rowOff>161925</xdr:rowOff>
    </xdr:from>
    <xdr:to>
      <xdr:col>2</xdr:col>
      <xdr:colOff>447675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2425"/>
          <a:ext cx="9048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76200</xdr:colOff>
      <xdr:row>20</xdr:row>
      <xdr:rowOff>66675</xdr:rowOff>
    </xdr:from>
    <xdr:to>
      <xdr:col>8</xdr:col>
      <xdr:colOff>552450</xdr:colOff>
      <xdr:row>34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32"/>
  <sheetViews>
    <sheetView workbookViewId="0">
      <selection activeCell="J19" sqref="J19"/>
    </sheetView>
  </sheetViews>
  <sheetFormatPr defaultRowHeight="14.5" x14ac:dyDescent="0.35"/>
  <cols>
    <col min="1" max="1" width="6.54296875" customWidth="1"/>
    <col min="2" max="2" width="10.54296875" customWidth="1"/>
    <col min="3" max="3" width="24.1796875" hidden="1" customWidth="1"/>
    <col min="4" max="4" width="4.26953125" customWidth="1"/>
    <col min="5" max="5" width="2" customWidth="1"/>
    <col min="6" max="6" width="17.453125" customWidth="1"/>
    <col min="7" max="7" width="11.453125" customWidth="1"/>
    <col min="8" max="8" width="11" customWidth="1"/>
    <col min="9" max="9" width="1.1796875" customWidth="1"/>
    <col min="10" max="10" width="10.81640625" customWidth="1"/>
    <col min="11" max="11" width="10.1796875" customWidth="1"/>
  </cols>
  <sheetData>
    <row r="2" spans="1:11" ht="15.5" x14ac:dyDescent="0.35">
      <c r="A2" s="82"/>
      <c r="B2" s="83"/>
      <c r="C2" s="83"/>
      <c r="D2" s="84"/>
      <c r="E2" s="91" t="s">
        <v>14</v>
      </c>
      <c r="F2" s="92"/>
      <c r="G2" s="92"/>
      <c r="H2" s="92"/>
      <c r="I2" s="93"/>
      <c r="J2" s="100" t="s">
        <v>27</v>
      </c>
      <c r="K2" s="101"/>
    </row>
    <row r="3" spans="1:11" ht="15.5" x14ac:dyDescent="0.35">
      <c r="A3" s="85"/>
      <c r="B3" s="86"/>
      <c r="C3" s="86"/>
      <c r="D3" s="87"/>
      <c r="E3" s="94"/>
      <c r="F3" s="95"/>
      <c r="G3" s="95"/>
      <c r="H3" s="95"/>
      <c r="I3" s="96"/>
      <c r="J3" s="101" t="s">
        <v>21</v>
      </c>
      <c r="K3" s="101"/>
    </row>
    <row r="4" spans="1:11" ht="15.5" x14ac:dyDescent="0.35">
      <c r="A4" s="88"/>
      <c r="B4" s="89"/>
      <c r="C4" s="89"/>
      <c r="D4" s="90"/>
      <c r="E4" s="97"/>
      <c r="F4" s="98"/>
      <c r="G4" s="98"/>
      <c r="H4" s="98"/>
      <c r="I4" s="99"/>
      <c r="J4" s="101" t="s">
        <v>19</v>
      </c>
      <c r="K4" s="101"/>
    </row>
    <row r="6" spans="1:11" ht="15.5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2"/>
    </row>
    <row r="7" spans="1:11" ht="15.5" x14ac:dyDescent="0.35">
      <c r="A7" s="3" t="s">
        <v>1</v>
      </c>
      <c r="B7" s="23"/>
      <c r="C7" s="23"/>
      <c r="D7" s="3"/>
      <c r="E7" s="80" t="s">
        <v>13</v>
      </c>
      <c r="F7" s="80"/>
      <c r="G7" s="80"/>
      <c r="H7" s="80"/>
      <c r="I7" s="4"/>
      <c r="J7" s="4"/>
      <c r="K7" s="2"/>
    </row>
    <row r="8" spans="1:11" ht="15.5" x14ac:dyDescent="0.35">
      <c r="A8" s="3" t="s">
        <v>2</v>
      </c>
      <c r="B8" s="23"/>
      <c r="C8" s="23"/>
      <c r="D8" s="3"/>
      <c r="E8" s="102" t="s">
        <v>23</v>
      </c>
      <c r="F8" s="102"/>
      <c r="G8" s="102"/>
      <c r="H8" s="102"/>
      <c r="I8" s="5"/>
      <c r="J8" s="5"/>
      <c r="K8" s="2"/>
    </row>
    <row r="9" spans="1:11" ht="15.5" x14ac:dyDescent="0.35">
      <c r="A9" s="3" t="s">
        <v>3</v>
      </c>
      <c r="B9" s="23"/>
      <c r="C9" s="23"/>
      <c r="D9" s="3"/>
      <c r="E9" s="102" t="s">
        <v>18</v>
      </c>
      <c r="F9" s="102"/>
      <c r="G9" s="102"/>
      <c r="H9" s="102"/>
      <c r="I9" s="6"/>
      <c r="J9" s="6"/>
      <c r="K9" s="2"/>
    </row>
    <row r="10" spans="1:11" ht="15.5" x14ac:dyDescent="0.35">
      <c r="A10" s="81" t="s">
        <v>4</v>
      </c>
      <c r="B10" s="81"/>
      <c r="C10" s="81"/>
      <c r="D10" s="81"/>
      <c r="E10" s="75" t="s">
        <v>28</v>
      </c>
      <c r="F10" s="75"/>
      <c r="G10" s="75"/>
      <c r="H10" s="75"/>
      <c r="I10" s="7"/>
      <c r="J10" s="7"/>
      <c r="K10" s="2"/>
    </row>
    <row r="11" spans="1:11" ht="15.5" x14ac:dyDescent="0.35">
      <c r="A11" s="8" t="s">
        <v>5</v>
      </c>
      <c r="B11" s="8"/>
      <c r="C11" s="8"/>
      <c r="D11" s="8"/>
      <c r="E11" s="75" t="s">
        <v>6</v>
      </c>
      <c r="F11" s="75"/>
      <c r="G11" s="75"/>
      <c r="H11" s="75"/>
      <c r="I11" s="4"/>
      <c r="J11" s="4"/>
      <c r="K11" s="2"/>
    </row>
    <row r="12" spans="1:11" ht="15.5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2"/>
    </row>
    <row r="14" spans="1:11" ht="15.5" x14ac:dyDescent="0.35">
      <c r="A14" s="9" t="s">
        <v>7</v>
      </c>
      <c r="B14" s="22" t="s">
        <v>16</v>
      </c>
      <c r="C14" s="22"/>
      <c r="D14" s="76" t="s">
        <v>29</v>
      </c>
      <c r="E14" s="77"/>
      <c r="F14" s="9" t="s">
        <v>11</v>
      </c>
      <c r="G14" s="20" t="s">
        <v>15</v>
      </c>
      <c r="H14" s="20" t="s">
        <v>0</v>
      </c>
    </row>
    <row r="15" spans="1:11" ht="15.5" x14ac:dyDescent="0.35">
      <c r="A15" s="10">
        <v>1</v>
      </c>
      <c r="B15" s="25">
        <v>43862</v>
      </c>
      <c r="C15" s="24"/>
      <c r="D15" s="78">
        <v>219</v>
      </c>
      <c r="E15" s="79"/>
      <c r="F15" s="11">
        <v>220</v>
      </c>
      <c r="G15" s="21">
        <f>(D15-F15)/D15*100</f>
        <v>-0.45662100456621002</v>
      </c>
      <c r="H15" s="21">
        <v>99.543999999999997</v>
      </c>
    </row>
    <row r="16" spans="1:11" ht="15.5" x14ac:dyDescent="0.35">
      <c r="A16" s="10"/>
      <c r="B16" s="25"/>
      <c r="C16" s="24"/>
      <c r="D16" s="78"/>
      <c r="E16" s="79"/>
      <c r="F16" s="11"/>
      <c r="G16" s="21"/>
      <c r="H16" s="21"/>
    </row>
    <row r="17" spans="1:10" ht="15.5" x14ac:dyDescent="0.35">
      <c r="A17" s="10"/>
      <c r="B17" s="25"/>
      <c r="C17" s="24"/>
      <c r="D17" s="78"/>
      <c r="E17" s="79"/>
      <c r="F17" s="11"/>
      <c r="G17" s="21"/>
      <c r="H17" s="21"/>
    </row>
    <row r="18" spans="1:10" ht="15.5" x14ac:dyDescent="0.35">
      <c r="A18" s="12"/>
      <c r="B18" s="12"/>
      <c r="C18" s="12"/>
      <c r="D18" s="13"/>
      <c r="E18" s="13"/>
      <c r="F18" s="14"/>
    </row>
    <row r="19" spans="1:10" x14ac:dyDescent="0.35">
      <c r="B19" s="28"/>
      <c r="D19" s="27"/>
    </row>
    <row r="20" spans="1:10" ht="15.5" x14ac:dyDescent="0.35">
      <c r="B20" s="31"/>
      <c r="D20" s="63" t="s">
        <v>0</v>
      </c>
      <c r="E20" s="64"/>
      <c r="F20" s="65"/>
      <c r="G20" s="29"/>
    </row>
    <row r="21" spans="1:10" ht="15.5" x14ac:dyDescent="0.35">
      <c r="B21" s="32"/>
      <c r="D21" s="66">
        <v>0.99539999999999995</v>
      </c>
      <c r="E21" s="67"/>
      <c r="F21" s="68"/>
      <c r="G21" s="15"/>
    </row>
    <row r="22" spans="1:10" ht="15.5" x14ac:dyDescent="0.35">
      <c r="B22" s="32"/>
      <c r="D22" s="69"/>
      <c r="E22" s="70"/>
      <c r="F22" s="71"/>
      <c r="G22" s="30"/>
    </row>
    <row r="23" spans="1:10" ht="15.5" x14ac:dyDescent="0.35">
      <c r="B23" s="32"/>
      <c r="D23" s="72"/>
      <c r="E23" s="73"/>
      <c r="F23" s="74"/>
      <c r="G23" s="15"/>
    </row>
    <row r="24" spans="1:10" x14ac:dyDescent="0.35">
      <c r="B24" s="26"/>
      <c r="D24" s="27"/>
      <c r="E24" s="15"/>
      <c r="F24" s="15"/>
      <c r="G24" s="15"/>
    </row>
    <row r="25" spans="1:10" x14ac:dyDescent="0.35">
      <c r="E25" s="15"/>
      <c r="F25" s="15"/>
      <c r="G25" s="15"/>
    </row>
    <row r="26" spans="1:10" x14ac:dyDescent="0.35">
      <c r="E26" s="15"/>
      <c r="F26" s="15"/>
      <c r="G26" s="15"/>
    </row>
    <row r="27" spans="1:10" x14ac:dyDescent="0.35">
      <c r="E27" s="15"/>
      <c r="F27" s="15"/>
      <c r="G27" s="15"/>
    </row>
    <row r="28" spans="1:10" x14ac:dyDescent="0.35">
      <c r="E28" s="15"/>
      <c r="F28" s="15"/>
      <c r="G28" s="15"/>
    </row>
    <row r="29" spans="1:10" x14ac:dyDescent="0.35">
      <c r="E29" s="15"/>
      <c r="F29" s="15"/>
      <c r="G29" s="15"/>
    </row>
    <row r="31" spans="1:10" x14ac:dyDescent="0.35">
      <c r="A31" s="16" t="s">
        <v>8</v>
      </c>
      <c r="B31" s="16"/>
      <c r="C31" s="16"/>
      <c r="D31" s="2"/>
      <c r="E31" s="2"/>
      <c r="F31" s="2"/>
      <c r="G31" s="17"/>
      <c r="H31" s="2"/>
      <c r="I31" s="2"/>
      <c r="J31" s="18" t="s">
        <v>9</v>
      </c>
    </row>
    <row r="32" spans="1:10" ht="15.5" x14ac:dyDescent="0.35">
      <c r="A32" s="1" t="s">
        <v>10</v>
      </c>
      <c r="B32" s="1" t="s">
        <v>32</v>
      </c>
      <c r="C32" s="1"/>
      <c r="D32" s="2"/>
      <c r="E32" s="2"/>
      <c r="F32" s="2"/>
      <c r="G32" s="2"/>
      <c r="H32" s="2"/>
      <c r="I32" s="2"/>
      <c r="J32" s="19" t="s">
        <v>33</v>
      </c>
    </row>
  </sheetData>
  <mergeCells count="19">
    <mergeCell ref="E7:H7"/>
    <mergeCell ref="A10:D10"/>
    <mergeCell ref="A2:D4"/>
    <mergeCell ref="E2:I4"/>
    <mergeCell ref="J2:K2"/>
    <mergeCell ref="J3:K3"/>
    <mergeCell ref="J4:K4"/>
    <mergeCell ref="E8:H8"/>
    <mergeCell ref="E9:H9"/>
    <mergeCell ref="E10:H10"/>
    <mergeCell ref="D20:F20"/>
    <mergeCell ref="D21:F21"/>
    <mergeCell ref="D22:F22"/>
    <mergeCell ref="D23:F23"/>
    <mergeCell ref="E11:H11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1"/>
  <sheetViews>
    <sheetView workbookViewId="0">
      <selection activeCell="J22" sqref="J22"/>
    </sheetView>
  </sheetViews>
  <sheetFormatPr defaultRowHeight="14.5" x14ac:dyDescent="0.35"/>
  <cols>
    <col min="2" max="2" width="9.1796875" customWidth="1"/>
    <col min="3" max="3" width="0.26953125" customWidth="1"/>
    <col min="4" max="4" width="6.7265625" customWidth="1"/>
    <col min="5" max="5" width="6.1796875" customWidth="1"/>
    <col min="6" max="6" width="8.26953125" customWidth="1"/>
    <col min="8" max="8" width="6.26953125" customWidth="1"/>
    <col min="9" max="9" width="4.54296875" customWidth="1"/>
    <col min="10" max="10" width="8.26953125" customWidth="1"/>
    <col min="11" max="11" width="10.81640625" customWidth="1"/>
  </cols>
  <sheetData>
    <row r="1" spans="1:11" ht="15.5" x14ac:dyDescent="0.35">
      <c r="A1" s="82"/>
      <c r="B1" s="83"/>
      <c r="C1" s="83"/>
      <c r="D1" s="84"/>
      <c r="E1" s="91" t="s">
        <v>14</v>
      </c>
      <c r="F1" s="92"/>
      <c r="G1" s="92"/>
      <c r="H1" s="92"/>
      <c r="I1" s="93"/>
      <c r="J1" s="100" t="s">
        <v>42</v>
      </c>
      <c r="K1" s="101"/>
    </row>
    <row r="2" spans="1:11" ht="15.5" x14ac:dyDescent="0.35">
      <c r="A2" s="85"/>
      <c r="B2" s="86"/>
      <c r="C2" s="86"/>
      <c r="D2" s="87"/>
      <c r="E2" s="94"/>
      <c r="F2" s="95"/>
      <c r="G2" s="95"/>
      <c r="H2" s="95"/>
      <c r="I2" s="96"/>
      <c r="J2" s="101" t="s">
        <v>21</v>
      </c>
      <c r="K2" s="101"/>
    </row>
    <row r="3" spans="1:11" ht="15.5" x14ac:dyDescent="0.35">
      <c r="A3" s="88"/>
      <c r="B3" s="89"/>
      <c r="C3" s="89"/>
      <c r="D3" s="90"/>
      <c r="E3" s="97"/>
      <c r="F3" s="98"/>
      <c r="G3" s="98"/>
      <c r="H3" s="98"/>
      <c r="I3" s="99"/>
      <c r="J3" s="101" t="s">
        <v>22</v>
      </c>
      <c r="K3" s="101"/>
    </row>
    <row r="5" spans="1:11" ht="15.5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2"/>
    </row>
    <row r="6" spans="1:11" ht="15.5" x14ac:dyDescent="0.35">
      <c r="A6" s="33" t="s">
        <v>1</v>
      </c>
      <c r="B6" s="33"/>
      <c r="C6" s="33"/>
      <c r="D6" s="33"/>
      <c r="E6" s="80" t="s">
        <v>17</v>
      </c>
      <c r="F6" s="80"/>
      <c r="G6" s="80"/>
      <c r="H6" s="80"/>
      <c r="I6" s="4"/>
      <c r="J6" s="4"/>
      <c r="K6" s="2"/>
    </row>
    <row r="7" spans="1:11" ht="15.5" x14ac:dyDescent="0.35">
      <c r="A7" s="33" t="s">
        <v>2</v>
      </c>
      <c r="B7" s="33"/>
      <c r="C7" s="33"/>
      <c r="D7" s="33"/>
      <c r="E7" s="102" t="s">
        <v>23</v>
      </c>
      <c r="F7" s="102"/>
      <c r="G7" s="102"/>
      <c r="H7" s="102"/>
      <c r="I7" s="4"/>
      <c r="J7" s="4"/>
      <c r="K7" s="2"/>
    </row>
    <row r="8" spans="1:11" ht="15.5" x14ac:dyDescent="0.35">
      <c r="A8" s="33" t="s">
        <v>3</v>
      </c>
      <c r="B8" s="33"/>
      <c r="C8" s="33"/>
      <c r="D8" s="33"/>
      <c r="E8" s="102" t="s">
        <v>18</v>
      </c>
      <c r="F8" s="102"/>
      <c r="G8" s="102"/>
      <c r="H8" s="102"/>
      <c r="I8" s="5"/>
      <c r="J8" s="5"/>
      <c r="K8" s="2"/>
    </row>
    <row r="9" spans="1:11" ht="15.5" x14ac:dyDescent="0.35">
      <c r="A9" s="81" t="s">
        <v>4</v>
      </c>
      <c r="B9" s="81"/>
      <c r="C9" s="81"/>
      <c r="D9" s="81"/>
      <c r="E9" s="75" t="s">
        <v>24</v>
      </c>
      <c r="F9" s="75"/>
      <c r="G9" s="75"/>
      <c r="H9" s="75"/>
      <c r="I9" s="7"/>
      <c r="J9" s="7"/>
      <c r="K9" s="2"/>
    </row>
    <row r="10" spans="1:11" ht="15.5" x14ac:dyDescent="0.35">
      <c r="A10" s="8" t="s">
        <v>5</v>
      </c>
      <c r="B10" s="8"/>
      <c r="C10" s="8"/>
      <c r="D10" s="8"/>
      <c r="E10" s="75" t="s">
        <v>25</v>
      </c>
      <c r="F10" s="75"/>
      <c r="G10" s="75"/>
      <c r="H10" s="75"/>
      <c r="I10" s="4"/>
      <c r="J10" s="4"/>
      <c r="K10" s="2"/>
    </row>
    <row r="11" spans="1:11" ht="15.5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2"/>
    </row>
    <row r="12" spans="1:11" ht="15.75" customHeight="1" x14ac:dyDescent="0.35">
      <c r="A12" s="1"/>
      <c r="B12" s="45" t="s">
        <v>17</v>
      </c>
      <c r="C12" s="45"/>
      <c r="D12" s="46">
        <v>7.61</v>
      </c>
      <c r="E12" s="45">
        <v>7.64</v>
      </c>
      <c r="F12" s="45">
        <v>7.63</v>
      </c>
      <c r="G12" s="45">
        <v>7.61</v>
      </c>
      <c r="H12" s="45">
        <v>7.62</v>
      </c>
      <c r="I12" s="21">
        <v>7.59</v>
      </c>
      <c r="J12" s="21">
        <v>7.59</v>
      </c>
      <c r="K12" s="21">
        <v>7.6</v>
      </c>
    </row>
    <row r="13" spans="1:11" ht="15.5" x14ac:dyDescent="0.35">
      <c r="A13" s="1"/>
      <c r="B13" s="45" t="s">
        <v>41</v>
      </c>
      <c r="C13" s="45"/>
      <c r="D13" s="45"/>
      <c r="E13" s="45"/>
      <c r="F13" s="45"/>
      <c r="G13" s="45"/>
      <c r="H13" s="45"/>
      <c r="I13" s="21"/>
      <c r="J13" s="21"/>
      <c r="K13" s="21"/>
    </row>
    <row r="14" spans="1:11" ht="15.5" x14ac:dyDescent="0.35">
      <c r="A14" s="1"/>
      <c r="B14" s="1"/>
      <c r="C14" s="1"/>
      <c r="D14" s="1"/>
      <c r="E14" s="1"/>
      <c r="F14" s="1"/>
      <c r="G14" s="1"/>
      <c r="H14" s="1"/>
    </row>
    <row r="15" spans="1:11" ht="15.5" x14ac:dyDescent="0.35">
      <c r="A15" s="1"/>
      <c r="B15" s="1"/>
      <c r="C15" s="44"/>
      <c r="D15" s="1"/>
      <c r="E15" s="1"/>
      <c r="F15" s="1"/>
      <c r="G15" s="1"/>
      <c r="H15" s="1"/>
    </row>
    <row r="18" spans="1:8" ht="15.5" x14ac:dyDescent="0.35">
      <c r="A18" s="47"/>
      <c r="B18" s="48"/>
      <c r="C18" s="47"/>
      <c r="D18" s="105"/>
      <c r="E18" s="105"/>
      <c r="F18" s="49"/>
      <c r="G18" s="27"/>
      <c r="H18" s="27"/>
    </row>
    <row r="19" spans="1:8" ht="15.5" x14ac:dyDescent="0.35">
      <c r="A19" s="47"/>
      <c r="B19" s="48"/>
      <c r="C19" s="47"/>
      <c r="D19" s="105"/>
      <c r="E19" s="105"/>
      <c r="F19" s="49"/>
      <c r="G19" s="27"/>
      <c r="H19" s="27"/>
    </row>
    <row r="20" spans="1:8" ht="15.5" x14ac:dyDescent="0.35">
      <c r="A20" s="47"/>
      <c r="B20" s="48"/>
      <c r="C20" s="47"/>
      <c r="D20" s="105"/>
      <c r="E20" s="105"/>
      <c r="F20" s="49"/>
      <c r="G20" s="27"/>
      <c r="H20" s="27"/>
    </row>
    <row r="21" spans="1:8" ht="15.5" x14ac:dyDescent="0.35">
      <c r="A21" s="12"/>
      <c r="B21" s="12"/>
      <c r="C21" s="12"/>
      <c r="D21" s="13"/>
      <c r="E21" s="13"/>
      <c r="F21" s="14"/>
    </row>
    <row r="22" spans="1:8" x14ac:dyDescent="0.35">
      <c r="B22" s="27"/>
      <c r="D22" s="27"/>
    </row>
    <row r="23" spans="1:8" ht="15.5" x14ac:dyDescent="0.35">
      <c r="B23" s="39"/>
      <c r="D23" s="27"/>
      <c r="G23" s="27"/>
    </row>
    <row r="24" spans="1:8" ht="15.5" x14ac:dyDescent="0.35">
      <c r="B24" s="39"/>
      <c r="D24" s="27"/>
      <c r="G24" s="15"/>
    </row>
    <row r="25" spans="1:8" ht="15.5" x14ac:dyDescent="0.35">
      <c r="B25" s="39"/>
      <c r="D25" s="27"/>
      <c r="G25" s="40"/>
    </row>
    <row r="26" spans="1:8" ht="15.5" x14ac:dyDescent="0.35">
      <c r="B26" s="39"/>
      <c r="D26" s="27"/>
      <c r="G26" s="15"/>
    </row>
    <row r="27" spans="1:8" x14ac:dyDescent="0.35">
      <c r="B27" s="27"/>
      <c r="D27" s="27"/>
      <c r="G27" s="15"/>
    </row>
    <row r="28" spans="1:8" x14ac:dyDescent="0.35">
      <c r="A28" t="s">
        <v>30</v>
      </c>
      <c r="D28" s="27"/>
      <c r="G28" s="15" t="s">
        <v>31</v>
      </c>
    </row>
    <row r="29" spans="1:8" x14ac:dyDescent="0.35">
      <c r="D29" s="27"/>
      <c r="G29" s="15"/>
    </row>
    <row r="30" spans="1:8" x14ac:dyDescent="0.35">
      <c r="D30" s="27"/>
    </row>
    <row r="31" spans="1:8" ht="15.5" x14ac:dyDescent="0.35">
      <c r="D31" s="106"/>
      <c r="E31" s="106"/>
      <c r="F31" s="106"/>
    </row>
    <row r="32" spans="1:8" ht="15.5" x14ac:dyDescent="0.35">
      <c r="D32" s="41"/>
      <c r="E32" s="41"/>
      <c r="F32" s="41"/>
    </row>
    <row r="33" spans="4:6" ht="15.5" x14ac:dyDescent="0.35">
      <c r="D33" s="41"/>
      <c r="E33" s="41"/>
      <c r="F33" s="41"/>
    </row>
    <row r="34" spans="4:6" x14ac:dyDescent="0.35">
      <c r="D34" s="103"/>
      <c r="E34" s="104"/>
      <c r="F34" s="104"/>
    </row>
    <row r="35" spans="4:6" x14ac:dyDescent="0.35">
      <c r="D35" s="42"/>
      <c r="E35" s="43"/>
      <c r="F35" s="43"/>
    </row>
    <row r="36" spans="4:6" x14ac:dyDescent="0.35">
      <c r="D36" s="42"/>
      <c r="E36" s="43"/>
      <c r="F36" s="43"/>
    </row>
    <row r="37" spans="4:6" x14ac:dyDescent="0.35">
      <c r="D37" s="42"/>
      <c r="E37" s="43"/>
      <c r="F37" s="43"/>
    </row>
    <row r="38" spans="4:6" x14ac:dyDescent="0.35">
      <c r="D38" s="27"/>
      <c r="E38" s="43"/>
      <c r="F38" s="15"/>
    </row>
    <row r="39" spans="4:6" x14ac:dyDescent="0.35">
      <c r="E39" s="15"/>
      <c r="F39" s="15"/>
    </row>
    <row r="40" spans="4:6" x14ac:dyDescent="0.35">
      <c r="E40" s="15"/>
      <c r="F40" s="15"/>
    </row>
    <row r="41" spans="4:6" x14ac:dyDescent="0.35">
      <c r="E41" s="15"/>
    </row>
  </sheetData>
  <mergeCells count="16">
    <mergeCell ref="A1:D3"/>
    <mergeCell ref="E1:I3"/>
    <mergeCell ref="J1:K1"/>
    <mergeCell ref="J2:K2"/>
    <mergeCell ref="J3:K3"/>
    <mergeCell ref="E6:H6"/>
    <mergeCell ref="E7:H7"/>
    <mergeCell ref="E8:H8"/>
    <mergeCell ref="A9:D9"/>
    <mergeCell ref="E9:H9"/>
    <mergeCell ref="D34:F34"/>
    <mergeCell ref="E10:H10"/>
    <mergeCell ref="D18:E18"/>
    <mergeCell ref="D19:E19"/>
    <mergeCell ref="D20:E20"/>
    <mergeCell ref="D31:F31"/>
  </mergeCells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5"/>
  <sheetViews>
    <sheetView workbookViewId="0">
      <selection activeCell="K19" sqref="K19"/>
    </sheetView>
  </sheetViews>
  <sheetFormatPr defaultRowHeight="14.5" x14ac:dyDescent="0.35"/>
  <cols>
    <col min="2" max="2" width="11.453125" customWidth="1"/>
    <col min="3" max="3" width="0.26953125" customWidth="1"/>
    <col min="4" max="4" width="7.1796875" customWidth="1"/>
    <col min="5" max="5" width="4.81640625" customWidth="1"/>
    <col min="6" max="6" width="13.54296875" customWidth="1"/>
    <col min="9" max="9" width="3.81640625" customWidth="1"/>
    <col min="10" max="10" width="10.54296875" customWidth="1"/>
    <col min="11" max="11" width="8.26953125" customWidth="1"/>
  </cols>
  <sheetData>
    <row r="1" spans="1:11" ht="15.5" x14ac:dyDescent="0.35">
      <c r="A1" s="82"/>
      <c r="B1" s="83"/>
      <c r="C1" s="83"/>
      <c r="D1" s="84"/>
      <c r="E1" s="91" t="s">
        <v>14</v>
      </c>
      <c r="F1" s="92"/>
      <c r="G1" s="92"/>
      <c r="H1" s="92"/>
      <c r="I1" s="93"/>
      <c r="J1" s="100" t="s">
        <v>20</v>
      </c>
      <c r="K1" s="101"/>
    </row>
    <row r="2" spans="1:11" ht="15.5" x14ac:dyDescent="0.35">
      <c r="A2" s="85"/>
      <c r="B2" s="86"/>
      <c r="C2" s="86"/>
      <c r="D2" s="87"/>
      <c r="E2" s="94"/>
      <c r="F2" s="95"/>
      <c r="G2" s="95"/>
      <c r="H2" s="95"/>
      <c r="I2" s="96"/>
      <c r="J2" s="101" t="s">
        <v>21</v>
      </c>
      <c r="K2" s="101"/>
    </row>
    <row r="3" spans="1:11" ht="15.5" x14ac:dyDescent="0.35">
      <c r="A3" s="88"/>
      <c r="B3" s="89"/>
      <c r="C3" s="89"/>
      <c r="D3" s="90"/>
      <c r="E3" s="97"/>
      <c r="F3" s="98"/>
      <c r="G3" s="98"/>
      <c r="H3" s="98"/>
      <c r="I3" s="99"/>
      <c r="J3" s="101" t="s">
        <v>22</v>
      </c>
      <c r="K3" s="101"/>
    </row>
    <row r="5" spans="1:11" ht="15.5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2"/>
    </row>
    <row r="6" spans="1:11" ht="15.5" x14ac:dyDescent="0.35">
      <c r="A6" s="35" t="s">
        <v>1</v>
      </c>
      <c r="B6" s="35"/>
      <c r="C6" s="35"/>
      <c r="D6" s="35"/>
      <c r="E6" s="80" t="s">
        <v>34</v>
      </c>
      <c r="F6" s="80"/>
      <c r="G6" s="80"/>
      <c r="H6" s="80"/>
      <c r="I6" s="4"/>
      <c r="J6" s="4"/>
      <c r="K6" s="2"/>
    </row>
    <row r="7" spans="1:11" ht="15.5" x14ac:dyDescent="0.35">
      <c r="A7" s="35" t="s">
        <v>2</v>
      </c>
      <c r="B7" s="35"/>
      <c r="C7" s="35"/>
      <c r="D7" s="35"/>
      <c r="E7" s="102" t="s">
        <v>23</v>
      </c>
      <c r="F7" s="102"/>
      <c r="G7" s="102"/>
      <c r="H7" s="102"/>
      <c r="I7" s="4"/>
      <c r="J7" s="4"/>
      <c r="K7" s="2"/>
    </row>
    <row r="8" spans="1:11" ht="15.5" x14ac:dyDescent="0.35">
      <c r="A8" s="35" t="s">
        <v>3</v>
      </c>
      <c r="B8" s="35"/>
      <c r="C8" s="35"/>
      <c r="D8" s="35"/>
      <c r="E8" s="102" t="s">
        <v>23</v>
      </c>
      <c r="F8" s="102"/>
      <c r="G8" s="102"/>
      <c r="H8" s="102"/>
      <c r="I8" s="5"/>
      <c r="J8" s="5"/>
      <c r="K8" s="2"/>
    </row>
    <row r="9" spans="1:11" ht="15.5" x14ac:dyDescent="0.35">
      <c r="A9" s="81" t="s">
        <v>4</v>
      </c>
      <c r="B9" s="81"/>
      <c r="C9" s="81"/>
      <c r="D9" s="81"/>
      <c r="E9" s="75" t="s">
        <v>24</v>
      </c>
      <c r="F9" s="75"/>
      <c r="G9" s="75"/>
      <c r="H9" s="75"/>
      <c r="I9" s="7"/>
      <c r="J9" s="7"/>
      <c r="K9" s="2"/>
    </row>
    <row r="10" spans="1:11" ht="15.5" x14ac:dyDescent="0.35">
      <c r="A10" s="8" t="s">
        <v>5</v>
      </c>
      <c r="B10" s="8"/>
      <c r="C10" s="8"/>
      <c r="D10" s="8"/>
      <c r="E10" s="75" t="s">
        <v>35</v>
      </c>
      <c r="F10" s="75"/>
      <c r="G10" s="75"/>
      <c r="H10" s="75"/>
      <c r="I10" s="4"/>
      <c r="J10" s="4"/>
      <c r="K10" s="2"/>
    </row>
    <row r="11" spans="1:11" ht="15.5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2"/>
    </row>
    <row r="13" spans="1:11" ht="15.5" x14ac:dyDescent="0.35">
      <c r="A13" s="9" t="s">
        <v>7</v>
      </c>
      <c r="B13" s="34" t="s">
        <v>16</v>
      </c>
      <c r="C13" s="34"/>
      <c r="D13" s="76" t="s">
        <v>12</v>
      </c>
      <c r="E13" s="77"/>
      <c r="F13" s="36" t="s">
        <v>11</v>
      </c>
      <c r="G13" s="20" t="s">
        <v>15</v>
      </c>
      <c r="H13" s="20" t="s">
        <v>0</v>
      </c>
    </row>
    <row r="14" spans="1:11" ht="15.5" x14ac:dyDescent="0.35">
      <c r="A14" s="10">
        <v>1</v>
      </c>
      <c r="B14" s="25" t="s">
        <v>26</v>
      </c>
      <c r="C14" s="24"/>
      <c r="D14" s="78">
        <v>64.47</v>
      </c>
      <c r="E14" s="79"/>
      <c r="F14" s="11">
        <v>63.8</v>
      </c>
      <c r="G14" s="21">
        <f>(D14-F14)/D14*100</f>
        <v>1.0392430587870354</v>
      </c>
      <c r="H14" s="21">
        <f>100-G14</f>
        <v>98.960756941212964</v>
      </c>
    </row>
    <row r="15" spans="1:11" ht="15.5" x14ac:dyDescent="0.35">
      <c r="A15" s="10"/>
      <c r="B15" s="25"/>
      <c r="C15" s="24"/>
      <c r="D15" s="78"/>
      <c r="E15" s="79"/>
      <c r="F15" s="11"/>
      <c r="G15" s="21"/>
      <c r="H15" s="21"/>
    </row>
    <row r="16" spans="1:11" ht="15.5" x14ac:dyDescent="0.35">
      <c r="A16" s="10"/>
      <c r="B16" s="25"/>
      <c r="C16" s="24"/>
      <c r="D16" s="78"/>
      <c r="E16" s="79"/>
      <c r="F16" s="11"/>
      <c r="G16" s="21"/>
      <c r="H16" s="21"/>
    </row>
    <row r="17" spans="1:7" ht="15.5" x14ac:dyDescent="0.35">
      <c r="A17" s="12"/>
      <c r="B17" s="12"/>
      <c r="C17" s="12"/>
      <c r="D17" s="13"/>
      <c r="E17" s="13"/>
      <c r="F17" s="14"/>
    </row>
    <row r="18" spans="1:7" x14ac:dyDescent="0.35">
      <c r="B18" s="28"/>
      <c r="D18" s="27"/>
    </row>
    <row r="19" spans="1:7" ht="15.5" x14ac:dyDescent="0.35">
      <c r="B19" s="31"/>
      <c r="D19" s="63" t="s">
        <v>0</v>
      </c>
      <c r="E19" s="64"/>
      <c r="F19" s="65"/>
      <c r="G19" s="29"/>
    </row>
    <row r="20" spans="1:7" ht="15.5" x14ac:dyDescent="0.35">
      <c r="B20" s="32"/>
      <c r="D20" s="107">
        <v>0.98960000000000004</v>
      </c>
      <c r="E20" s="108"/>
      <c r="F20" s="109"/>
      <c r="G20" s="15"/>
    </row>
    <row r="21" spans="1:7" ht="15.5" x14ac:dyDescent="0.35">
      <c r="B21" s="32"/>
      <c r="D21" s="107"/>
      <c r="E21" s="108"/>
      <c r="F21" s="109"/>
      <c r="G21" s="30"/>
    </row>
    <row r="22" spans="1:7" ht="15.5" x14ac:dyDescent="0.35">
      <c r="B22" s="32"/>
      <c r="D22" s="107"/>
      <c r="E22" s="108"/>
      <c r="F22" s="109"/>
      <c r="G22" s="15"/>
    </row>
    <row r="23" spans="1:7" x14ac:dyDescent="0.35">
      <c r="B23" s="26"/>
      <c r="D23" s="27"/>
      <c r="E23" s="15"/>
      <c r="F23" s="15"/>
      <c r="G23" s="15"/>
    </row>
    <row r="24" spans="1:7" x14ac:dyDescent="0.35">
      <c r="A24" t="s">
        <v>30</v>
      </c>
      <c r="E24" s="15"/>
      <c r="F24" s="15"/>
      <c r="G24" s="15" t="s">
        <v>31</v>
      </c>
    </row>
    <row r="25" spans="1:7" x14ac:dyDescent="0.35">
      <c r="E25" s="15"/>
      <c r="F25" s="15"/>
      <c r="G25" s="15"/>
    </row>
  </sheetData>
  <mergeCells count="19">
    <mergeCell ref="D13:E13"/>
    <mergeCell ref="A1:D3"/>
    <mergeCell ref="E1:I3"/>
    <mergeCell ref="J1:K1"/>
    <mergeCell ref="J2:K2"/>
    <mergeCell ref="J3:K3"/>
    <mergeCell ref="E6:H6"/>
    <mergeCell ref="E7:H7"/>
    <mergeCell ref="E8:H8"/>
    <mergeCell ref="A9:D9"/>
    <mergeCell ref="E9:H9"/>
    <mergeCell ref="E10:H10"/>
    <mergeCell ref="D22:F22"/>
    <mergeCell ref="D14:E14"/>
    <mergeCell ref="D15:E15"/>
    <mergeCell ref="D16:E16"/>
    <mergeCell ref="D19:F19"/>
    <mergeCell ref="D20:F20"/>
    <mergeCell ref="D21:F21"/>
  </mergeCells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5"/>
  <sheetViews>
    <sheetView workbookViewId="0">
      <selection activeCell="H21" sqref="H21"/>
    </sheetView>
  </sheetViews>
  <sheetFormatPr defaultRowHeight="14.5" x14ac:dyDescent="0.35"/>
  <cols>
    <col min="2" max="2" width="11.453125" customWidth="1"/>
    <col min="3" max="3" width="0.26953125" customWidth="1"/>
    <col min="4" max="4" width="7.1796875" customWidth="1"/>
    <col min="5" max="5" width="4.81640625" customWidth="1"/>
    <col min="6" max="6" width="13.54296875" customWidth="1"/>
    <col min="9" max="9" width="1.7265625" customWidth="1"/>
    <col min="10" max="10" width="10.54296875" customWidth="1"/>
    <col min="11" max="11" width="8.26953125" customWidth="1"/>
  </cols>
  <sheetData>
    <row r="1" spans="1:11" ht="15.5" x14ac:dyDescent="0.35">
      <c r="A1" s="82"/>
      <c r="B1" s="83"/>
      <c r="C1" s="83"/>
      <c r="D1" s="84"/>
      <c r="E1" s="91" t="s">
        <v>14</v>
      </c>
      <c r="F1" s="92"/>
      <c r="G1" s="92"/>
      <c r="H1" s="92"/>
      <c r="I1" s="93"/>
      <c r="J1" s="100" t="s">
        <v>20</v>
      </c>
      <c r="K1" s="101"/>
    </row>
    <row r="2" spans="1:11" ht="15.5" x14ac:dyDescent="0.35">
      <c r="A2" s="85"/>
      <c r="B2" s="86"/>
      <c r="C2" s="86"/>
      <c r="D2" s="87"/>
      <c r="E2" s="94"/>
      <c r="F2" s="95"/>
      <c r="G2" s="95"/>
      <c r="H2" s="95"/>
      <c r="I2" s="96"/>
      <c r="J2" s="101" t="s">
        <v>21</v>
      </c>
      <c r="K2" s="101"/>
    </row>
    <row r="3" spans="1:11" ht="15.5" x14ac:dyDescent="0.35">
      <c r="A3" s="88"/>
      <c r="B3" s="89"/>
      <c r="C3" s="89"/>
      <c r="D3" s="90"/>
      <c r="E3" s="97"/>
      <c r="F3" s="98"/>
      <c r="G3" s="98"/>
      <c r="H3" s="98"/>
      <c r="I3" s="99"/>
      <c r="J3" s="101" t="s">
        <v>22</v>
      </c>
      <c r="K3" s="101"/>
    </row>
    <row r="5" spans="1:11" ht="15.5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2"/>
    </row>
    <row r="6" spans="1:11" ht="15.5" x14ac:dyDescent="0.35">
      <c r="A6" s="35" t="s">
        <v>1</v>
      </c>
      <c r="B6" s="35"/>
      <c r="C6" s="35"/>
      <c r="D6" s="35"/>
      <c r="E6" s="80" t="s">
        <v>36</v>
      </c>
      <c r="F6" s="80"/>
      <c r="G6" s="80"/>
      <c r="H6" s="80"/>
      <c r="I6" s="4"/>
      <c r="J6" s="4"/>
      <c r="K6" s="2"/>
    </row>
    <row r="7" spans="1:11" ht="15.5" x14ac:dyDescent="0.35">
      <c r="A7" s="35" t="s">
        <v>2</v>
      </c>
      <c r="B7" s="35"/>
      <c r="C7" s="35"/>
      <c r="D7" s="35"/>
      <c r="E7" s="102" t="s">
        <v>37</v>
      </c>
      <c r="F7" s="102"/>
      <c r="G7" s="102"/>
      <c r="H7" s="102"/>
      <c r="I7" s="4"/>
      <c r="J7" s="4"/>
      <c r="K7" s="2"/>
    </row>
    <row r="8" spans="1:11" ht="15.5" x14ac:dyDescent="0.35">
      <c r="A8" s="35" t="s">
        <v>3</v>
      </c>
      <c r="B8" s="35"/>
      <c r="C8" s="35"/>
      <c r="D8" s="35"/>
      <c r="E8" s="102" t="s">
        <v>38</v>
      </c>
      <c r="F8" s="102"/>
      <c r="G8" s="102"/>
      <c r="H8" s="102"/>
      <c r="I8" s="5"/>
      <c r="J8" s="5"/>
      <c r="K8" s="2"/>
    </row>
    <row r="9" spans="1:11" ht="15.5" x14ac:dyDescent="0.35">
      <c r="A9" s="81" t="s">
        <v>4</v>
      </c>
      <c r="B9" s="81"/>
      <c r="C9" s="81"/>
      <c r="D9" s="81"/>
      <c r="E9" s="75" t="s">
        <v>24</v>
      </c>
      <c r="F9" s="75"/>
      <c r="G9" s="75"/>
      <c r="H9" s="75"/>
      <c r="I9" s="7"/>
      <c r="J9" s="7"/>
      <c r="K9" s="2"/>
    </row>
    <row r="10" spans="1:11" ht="15.5" x14ac:dyDescent="0.35">
      <c r="A10" s="8" t="s">
        <v>5</v>
      </c>
      <c r="B10" s="8"/>
      <c r="C10" s="8"/>
      <c r="D10" s="8"/>
      <c r="E10" s="75" t="s">
        <v>39</v>
      </c>
      <c r="F10" s="75"/>
      <c r="G10" s="75"/>
      <c r="H10" s="75"/>
      <c r="I10" s="4"/>
      <c r="J10" s="4"/>
      <c r="K10" s="2"/>
    </row>
    <row r="11" spans="1:11" ht="15.5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2"/>
    </row>
    <row r="13" spans="1:11" ht="15.5" x14ac:dyDescent="0.35">
      <c r="A13" s="9" t="s">
        <v>7</v>
      </c>
      <c r="B13" s="34" t="s">
        <v>16</v>
      </c>
      <c r="C13" s="34"/>
      <c r="D13" s="76" t="s">
        <v>29</v>
      </c>
      <c r="E13" s="77"/>
      <c r="F13" s="36" t="s">
        <v>11</v>
      </c>
      <c r="G13" s="20" t="s">
        <v>15</v>
      </c>
      <c r="H13" s="20" t="s">
        <v>0</v>
      </c>
    </row>
    <row r="14" spans="1:11" ht="15.5" x14ac:dyDescent="0.35">
      <c r="A14" s="10">
        <v>1</v>
      </c>
      <c r="B14" s="25" t="s">
        <v>26</v>
      </c>
      <c r="C14" s="24"/>
      <c r="D14" s="78">
        <v>0.24</v>
      </c>
      <c r="E14" s="79"/>
      <c r="F14" s="11">
        <v>0.25</v>
      </c>
      <c r="G14" s="21">
        <f>(D14-F14)/D14*100</f>
        <v>-4.1666666666666705</v>
      </c>
      <c r="H14" s="21">
        <f>100-(-G14)</f>
        <v>95.833333333333329</v>
      </c>
    </row>
    <row r="15" spans="1:11" ht="15.5" x14ac:dyDescent="0.35">
      <c r="A15" s="10"/>
      <c r="B15" s="25"/>
      <c r="C15" s="24"/>
      <c r="D15" s="78"/>
      <c r="E15" s="79"/>
      <c r="F15" s="11"/>
      <c r="G15" s="21"/>
      <c r="H15" s="21"/>
    </row>
    <row r="16" spans="1:11" ht="15.5" x14ac:dyDescent="0.35">
      <c r="A16" s="10"/>
      <c r="B16" s="25"/>
      <c r="C16" s="24"/>
      <c r="D16" s="78"/>
      <c r="E16" s="79"/>
      <c r="F16" s="11"/>
      <c r="G16" s="21"/>
      <c r="H16" s="21"/>
    </row>
    <row r="17" spans="1:7" ht="15.5" x14ac:dyDescent="0.35">
      <c r="A17" s="12"/>
      <c r="B17" s="12"/>
      <c r="C17" s="12"/>
      <c r="D17" s="13"/>
      <c r="E17" s="13"/>
      <c r="F17" s="14"/>
    </row>
    <row r="18" spans="1:7" x14ac:dyDescent="0.35">
      <c r="B18" s="28"/>
      <c r="D18" s="27"/>
    </row>
    <row r="19" spans="1:7" ht="15.5" x14ac:dyDescent="0.35">
      <c r="B19" s="31"/>
      <c r="D19" s="63" t="s">
        <v>0</v>
      </c>
      <c r="E19" s="64"/>
      <c r="F19" s="65"/>
      <c r="G19" s="29"/>
    </row>
    <row r="20" spans="1:7" ht="15.5" x14ac:dyDescent="0.35">
      <c r="B20" s="32"/>
      <c r="D20" s="107">
        <v>0.95830000000000004</v>
      </c>
      <c r="E20" s="108"/>
      <c r="F20" s="109"/>
      <c r="G20" s="15"/>
    </row>
    <row r="21" spans="1:7" ht="15.5" x14ac:dyDescent="0.35">
      <c r="B21" s="32"/>
      <c r="D21" s="107"/>
      <c r="E21" s="108"/>
      <c r="F21" s="109"/>
      <c r="G21" s="30"/>
    </row>
    <row r="22" spans="1:7" ht="15.5" x14ac:dyDescent="0.35">
      <c r="B22" s="32"/>
      <c r="D22" s="107"/>
      <c r="E22" s="108"/>
      <c r="F22" s="109"/>
      <c r="G22" s="15"/>
    </row>
    <row r="23" spans="1:7" x14ac:dyDescent="0.35">
      <c r="B23" s="26"/>
      <c r="D23" s="27"/>
      <c r="E23" s="15"/>
      <c r="F23" s="15"/>
      <c r="G23" s="15"/>
    </row>
    <row r="24" spans="1:7" x14ac:dyDescent="0.35">
      <c r="A24" t="s">
        <v>30</v>
      </c>
      <c r="E24" s="15"/>
      <c r="F24" s="15"/>
      <c r="G24" s="15" t="s">
        <v>31</v>
      </c>
    </row>
    <row r="25" spans="1:7" x14ac:dyDescent="0.35">
      <c r="E25" s="15"/>
      <c r="F25" s="15"/>
      <c r="G25" s="15"/>
    </row>
  </sheetData>
  <mergeCells count="19">
    <mergeCell ref="D13:E13"/>
    <mergeCell ref="A1:D3"/>
    <mergeCell ref="E1:I3"/>
    <mergeCell ref="J1:K1"/>
    <mergeCell ref="J2:K2"/>
    <mergeCell ref="J3:K3"/>
    <mergeCell ref="E6:H6"/>
    <mergeCell ref="E7:H7"/>
    <mergeCell ref="E8:H8"/>
    <mergeCell ref="A9:D9"/>
    <mergeCell ref="E9:H9"/>
    <mergeCell ref="E10:H10"/>
    <mergeCell ref="D22:F22"/>
    <mergeCell ref="D14:E14"/>
    <mergeCell ref="D15:E15"/>
    <mergeCell ref="D16:E16"/>
    <mergeCell ref="D19:F19"/>
    <mergeCell ref="D20:F20"/>
    <mergeCell ref="D21:F21"/>
  </mergeCells>
  <pageMargins left="0.7" right="0.7" top="0.75" bottom="0.75" header="0.3" footer="0.3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K32"/>
  <sheetViews>
    <sheetView workbookViewId="0">
      <selection activeCell="G37" sqref="G37"/>
    </sheetView>
  </sheetViews>
  <sheetFormatPr defaultRowHeight="14.5" x14ac:dyDescent="0.35"/>
  <cols>
    <col min="1" max="1" width="6.54296875" customWidth="1"/>
    <col min="2" max="2" width="10.54296875" customWidth="1"/>
    <col min="3" max="3" width="24.1796875" hidden="1" customWidth="1"/>
    <col min="4" max="4" width="4.26953125" customWidth="1"/>
    <col min="5" max="5" width="2" customWidth="1"/>
    <col min="6" max="6" width="17.453125" customWidth="1"/>
    <col min="7" max="7" width="11.453125" customWidth="1"/>
    <col min="8" max="8" width="11" customWidth="1"/>
    <col min="9" max="9" width="1.1796875" customWidth="1"/>
    <col min="10" max="10" width="10.81640625" customWidth="1"/>
    <col min="11" max="11" width="10.1796875" customWidth="1"/>
  </cols>
  <sheetData>
    <row r="2" spans="1:11" ht="15.5" x14ac:dyDescent="0.35">
      <c r="A2" s="82"/>
      <c r="B2" s="83"/>
      <c r="C2" s="83"/>
      <c r="D2" s="84"/>
      <c r="E2" s="91" t="s">
        <v>14</v>
      </c>
      <c r="F2" s="92"/>
      <c r="G2" s="92"/>
      <c r="H2" s="92"/>
      <c r="I2" s="93"/>
      <c r="J2" s="100" t="s">
        <v>40</v>
      </c>
      <c r="K2" s="101"/>
    </row>
    <row r="3" spans="1:11" ht="15.5" x14ac:dyDescent="0.35">
      <c r="A3" s="85"/>
      <c r="B3" s="86"/>
      <c r="C3" s="86"/>
      <c r="D3" s="87"/>
      <c r="E3" s="94"/>
      <c r="F3" s="95"/>
      <c r="G3" s="95"/>
      <c r="H3" s="95"/>
      <c r="I3" s="96"/>
      <c r="J3" s="101" t="s">
        <v>21</v>
      </c>
      <c r="K3" s="101"/>
    </row>
    <row r="4" spans="1:11" ht="15.5" x14ac:dyDescent="0.35">
      <c r="A4" s="88"/>
      <c r="B4" s="89"/>
      <c r="C4" s="89"/>
      <c r="D4" s="90"/>
      <c r="E4" s="97"/>
      <c r="F4" s="98"/>
      <c r="G4" s="98"/>
      <c r="H4" s="98"/>
      <c r="I4" s="99"/>
      <c r="J4" s="101" t="s">
        <v>19</v>
      </c>
      <c r="K4" s="101"/>
    </row>
    <row r="6" spans="1:11" ht="15.5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2"/>
    </row>
    <row r="7" spans="1:11" ht="15.5" x14ac:dyDescent="0.35">
      <c r="A7" s="38" t="s">
        <v>1</v>
      </c>
      <c r="B7" s="38"/>
      <c r="C7" s="38"/>
      <c r="D7" s="38"/>
      <c r="E7" s="80" t="s">
        <v>13</v>
      </c>
      <c r="F7" s="80"/>
      <c r="G7" s="80"/>
      <c r="H7" s="80"/>
      <c r="I7" s="4"/>
      <c r="J7" s="4"/>
      <c r="K7" s="2"/>
    </row>
    <row r="8" spans="1:11" ht="15.5" x14ac:dyDescent="0.35">
      <c r="A8" s="38" t="s">
        <v>2</v>
      </c>
      <c r="B8" s="38"/>
      <c r="C8" s="38"/>
      <c r="D8" s="38"/>
      <c r="E8" s="102" t="s">
        <v>23</v>
      </c>
      <c r="F8" s="102"/>
      <c r="G8" s="102"/>
      <c r="H8" s="102"/>
      <c r="I8" s="5"/>
      <c r="J8" s="5"/>
      <c r="K8" s="2"/>
    </row>
    <row r="9" spans="1:11" ht="15.5" x14ac:dyDescent="0.35">
      <c r="A9" s="38" t="s">
        <v>3</v>
      </c>
      <c r="B9" s="38"/>
      <c r="C9" s="38"/>
      <c r="D9" s="38"/>
      <c r="E9" s="102" t="s">
        <v>18</v>
      </c>
      <c r="F9" s="102"/>
      <c r="G9" s="102"/>
      <c r="H9" s="102"/>
      <c r="I9" s="6"/>
      <c r="J9" s="6"/>
      <c r="K9" s="2"/>
    </row>
    <row r="10" spans="1:11" ht="15.5" x14ac:dyDescent="0.35">
      <c r="A10" s="81" t="s">
        <v>4</v>
      </c>
      <c r="B10" s="81"/>
      <c r="C10" s="81"/>
      <c r="D10" s="81"/>
      <c r="E10" s="75" t="s">
        <v>28</v>
      </c>
      <c r="F10" s="75"/>
      <c r="G10" s="75"/>
      <c r="H10" s="75"/>
      <c r="I10" s="7"/>
      <c r="J10" s="7"/>
      <c r="K10" s="2"/>
    </row>
    <row r="11" spans="1:11" ht="15.5" x14ac:dyDescent="0.35">
      <c r="A11" s="8" t="s">
        <v>5</v>
      </c>
      <c r="B11" s="8"/>
      <c r="C11" s="8"/>
      <c r="D11" s="8"/>
      <c r="E11" s="75" t="s">
        <v>6</v>
      </c>
      <c r="F11" s="75"/>
      <c r="G11" s="75"/>
      <c r="H11" s="75"/>
      <c r="I11" s="4"/>
      <c r="J11" s="4"/>
      <c r="K11" s="2"/>
    </row>
    <row r="12" spans="1:11" ht="15.5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2"/>
    </row>
    <row r="14" spans="1:11" ht="15.5" x14ac:dyDescent="0.35">
      <c r="A14" s="9" t="s">
        <v>7</v>
      </c>
      <c r="B14" s="37" t="s">
        <v>16</v>
      </c>
      <c r="C14" s="37"/>
      <c r="D14" s="76" t="s">
        <v>29</v>
      </c>
      <c r="E14" s="77"/>
      <c r="F14" s="9" t="s">
        <v>11</v>
      </c>
      <c r="G14" s="20" t="s">
        <v>15</v>
      </c>
      <c r="H14" s="20" t="s">
        <v>0</v>
      </c>
    </row>
    <row r="15" spans="1:11" ht="15.5" x14ac:dyDescent="0.35">
      <c r="A15" s="10">
        <v>1</v>
      </c>
      <c r="B15" s="25">
        <v>43862</v>
      </c>
      <c r="C15" s="24"/>
      <c r="D15" s="78">
        <v>219</v>
      </c>
      <c r="E15" s="79"/>
      <c r="F15" s="11">
        <v>222</v>
      </c>
      <c r="G15" s="21">
        <f>(D15-F15)/D15*100</f>
        <v>-1.3698630136986301</v>
      </c>
      <c r="H15" s="21">
        <v>99.543999999999997</v>
      </c>
    </row>
    <row r="16" spans="1:11" ht="15.5" x14ac:dyDescent="0.35">
      <c r="A16" s="10"/>
      <c r="B16" s="25"/>
      <c r="C16" s="24"/>
      <c r="D16" s="78"/>
      <c r="E16" s="79"/>
      <c r="F16" s="11"/>
      <c r="G16" s="21"/>
      <c r="H16" s="21"/>
    </row>
    <row r="17" spans="1:10" ht="15.5" x14ac:dyDescent="0.35">
      <c r="A17" s="10"/>
      <c r="B17" s="25"/>
      <c r="C17" s="24"/>
      <c r="D17" s="78"/>
      <c r="E17" s="79"/>
      <c r="F17" s="11"/>
      <c r="G17" s="21"/>
      <c r="H17" s="21"/>
    </row>
    <row r="18" spans="1:10" ht="15.5" x14ac:dyDescent="0.35">
      <c r="A18" s="12"/>
      <c r="B18" s="12"/>
      <c r="C18" s="12"/>
      <c r="D18" s="13"/>
      <c r="E18" s="13"/>
      <c r="F18" s="14"/>
    </row>
    <row r="19" spans="1:10" x14ac:dyDescent="0.35">
      <c r="B19" s="28"/>
      <c r="D19" s="27"/>
    </row>
    <row r="20" spans="1:10" ht="15.5" x14ac:dyDescent="0.35">
      <c r="B20" s="31"/>
      <c r="D20" s="63" t="s">
        <v>0</v>
      </c>
      <c r="E20" s="64"/>
      <c r="F20" s="65"/>
      <c r="G20" s="29"/>
    </row>
    <row r="21" spans="1:10" ht="15.5" x14ac:dyDescent="0.35">
      <c r="B21" s="32"/>
      <c r="D21" s="66">
        <v>0.99539999999999995</v>
      </c>
      <c r="E21" s="67"/>
      <c r="F21" s="68"/>
      <c r="G21" s="15"/>
    </row>
    <row r="22" spans="1:10" ht="15.5" x14ac:dyDescent="0.35">
      <c r="B22" s="32"/>
      <c r="D22" s="69"/>
      <c r="E22" s="70"/>
      <c r="F22" s="71"/>
      <c r="G22" s="30"/>
    </row>
    <row r="23" spans="1:10" ht="15.5" x14ac:dyDescent="0.35">
      <c r="B23" s="32"/>
      <c r="D23" s="72"/>
      <c r="E23" s="73"/>
      <c r="F23" s="74"/>
      <c r="G23" s="15"/>
    </row>
    <row r="24" spans="1:10" x14ac:dyDescent="0.35">
      <c r="B24" s="26"/>
      <c r="D24" s="27"/>
      <c r="E24" s="15"/>
      <c r="F24" s="15"/>
      <c r="G24" s="15"/>
    </row>
    <row r="25" spans="1:10" x14ac:dyDescent="0.35">
      <c r="E25" s="15"/>
      <c r="F25" s="15"/>
      <c r="G25" s="15"/>
    </row>
    <row r="26" spans="1:10" x14ac:dyDescent="0.35">
      <c r="E26" s="15"/>
      <c r="F26" s="15"/>
      <c r="G26" s="15"/>
    </row>
    <row r="27" spans="1:10" x14ac:dyDescent="0.35">
      <c r="E27" s="15"/>
      <c r="F27" s="15"/>
      <c r="G27" s="15"/>
    </row>
    <row r="28" spans="1:10" x14ac:dyDescent="0.35">
      <c r="E28" s="15"/>
      <c r="F28" s="15"/>
      <c r="G28" s="15"/>
    </row>
    <row r="29" spans="1:10" x14ac:dyDescent="0.35">
      <c r="E29" s="15"/>
      <c r="F29" s="15"/>
      <c r="G29" s="15"/>
    </row>
    <row r="31" spans="1:10" x14ac:dyDescent="0.35">
      <c r="A31" s="16" t="s">
        <v>8</v>
      </c>
      <c r="B31" s="16"/>
      <c r="C31" s="16"/>
      <c r="D31" s="2"/>
      <c r="E31" s="2"/>
      <c r="F31" s="2"/>
      <c r="G31" s="17"/>
      <c r="H31" s="2"/>
      <c r="I31" s="2"/>
      <c r="J31" s="18" t="s">
        <v>9</v>
      </c>
    </row>
    <row r="32" spans="1:10" ht="15.5" x14ac:dyDescent="0.35">
      <c r="A32" s="1" t="s">
        <v>10</v>
      </c>
      <c r="B32" s="1" t="s">
        <v>32</v>
      </c>
      <c r="C32" s="1"/>
      <c r="D32" s="2"/>
      <c r="E32" s="2"/>
      <c r="F32" s="2"/>
      <c r="G32" s="2"/>
      <c r="H32" s="2"/>
      <c r="I32" s="2"/>
      <c r="J32" s="19" t="s">
        <v>33</v>
      </c>
    </row>
  </sheetData>
  <mergeCells count="19">
    <mergeCell ref="D14:E14"/>
    <mergeCell ref="A2:D4"/>
    <mergeCell ref="E2:I4"/>
    <mergeCell ref="J2:K2"/>
    <mergeCell ref="J3:K3"/>
    <mergeCell ref="J4:K4"/>
    <mergeCell ref="E7:H7"/>
    <mergeCell ref="E8:H8"/>
    <mergeCell ref="E9:H9"/>
    <mergeCell ref="A10:D10"/>
    <mergeCell ref="E10:H10"/>
    <mergeCell ref="E11:H11"/>
    <mergeCell ref="D23:F23"/>
    <mergeCell ref="D15:E15"/>
    <mergeCell ref="D16:E16"/>
    <mergeCell ref="D17:E17"/>
    <mergeCell ref="D20:F20"/>
    <mergeCell ref="D21:F21"/>
    <mergeCell ref="D22:F2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M38"/>
  <sheetViews>
    <sheetView topLeftCell="A2" workbookViewId="0">
      <selection activeCell="D2" sqref="D2:H5"/>
    </sheetView>
  </sheetViews>
  <sheetFormatPr defaultRowHeight="14.5" x14ac:dyDescent="0.35"/>
  <cols>
    <col min="5" max="5" width="9.1796875" customWidth="1"/>
    <col min="7" max="7" width="8.1796875" customWidth="1"/>
    <col min="8" max="8" width="7.54296875" customWidth="1"/>
    <col min="10" max="10" width="13.453125" customWidth="1"/>
    <col min="11" max="11" width="14.7265625" customWidth="1"/>
    <col min="12" max="13" width="9.1796875" hidden="1" customWidth="1"/>
  </cols>
  <sheetData>
    <row r="2" spans="2:11" x14ac:dyDescent="0.35">
      <c r="B2" s="129"/>
      <c r="C2" s="130"/>
      <c r="D2" s="120" t="s">
        <v>84</v>
      </c>
      <c r="E2" s="121"/>
      <c r="F2" s="121"/>
      <c r="G2" s="121"/>
      <c r="H2" s="122"/>
      <c r="I2" s="21" t="s">
        <v>43</v>
      </c>
      <c r="J2" s="50" t="s">
        <v>44</v>
      </c>
    </row>
    <row r="3" spans="2:11" x14ac:dyDescent="0.35">
      <c r="B3" s="131"/>
      <c r="C3" s="132"/>
      <c r="D3" s="123"/>
      <c r="E3" s="124"/>
      <c r="F3" s="124"/>
      <c r="G3" s="124"/>
      <c r="H3" s="125"/>
      <c r="I3" s="21" t="s">
        <v>45</v>
      </c>
      <c r="J3" s="50" t="s">
        <v>46</v>
      </c>
    </row>
    <row r="4" spans="2:11" x14ac:dyDescent="0.35">
      <c r="B4" s="131"/>
      <c r="C4" s="132"/>
      <c r="D4" s="123"/>
      <c r="E4" s="124"/>
      <c r="F4" s="124"/>
      <c r="G4" s="124"/>
      <c r="H4" s="125"/>
      <c r="I4" s="21" t="s">
        <v>47</v>
      </c>
      <c r="J4" s="50">
        <v>0</v>
      </c>
    </row>
    <row r="5" spans="2:11" x14ac:dyDescent="0.35">
      <c r="B5" s="133"/>
      <c r="C5" s="134"/>
      <c r="D5" s="126"/>
      <c r="E5" s="127"/>
      <c r="F5" s="127"/>
      <c r="G5" s="127"/>
      <c r="H5" s="128"/>
      <c r="I5" s="21" t="s">
        <v>48</v>
      </c>
      <c r="J5" s="51">
        <v>1</v>
      </c>
    </row>
    <row r="8" spans="2:11" x14ac:dyDescent="0.35">
      <c r="B8" s="135" t="s">
        <v>51</v>
      </c>
      <c r="C8" s="135"/>
      <c r="D8" s="111" t="s">
        <v>49</v>
      </c>
      <c r="E8" s="111"/>
      <c r="F8" s="111"/>
      <c r="G8" s="111"/>
    </row>
    <row r="9" spans="2:11" x14ac:dyDescent="0.35">
      <c r="B9" s="111" t="s">
        <v>52</v>
      </c>
      <c r="C9" s="111"/>
      <c r="D9" s="111" t="s">
        <v>50</v>
      </c>
      <c r="E9" s="111"/>
      <c r="F9" s="111"/>
      <c r="G9" s="111"/>
    </row>
    <row r="10" spans="2:11" x14ac:dyDescent="0.35">
      <c r="B10" s="111" t="s">
        <v>2</v>
      </c>
      <c r="C10" s="111"/>
      <c r="D10" s="111" t="s">
        <v>53</v>
      </c>
      <c r="E10" s="111"/>
      <c r="F10" s="111"/>
      <c r="G10" s="111"/>
    </row>
    <row r="11" spans="2:11" x14ac:dyDescent="0.35">
      <c r="B11" s="111" t="s">
        <v>54</v>
      </c>
      <c r="C11" s="111"/>
      <c r="D11" s="112">
        <v>44409</v>
      </c>
      <c r="E11" s="111"/>
      <c r="F11" s="111"/>
      <c r="G11" s="111"/>
    </row>
    <row r="13" spans="2:11" x14ac:dyDescent="0.35">
      <c r="B13" s="113" t="s">
        <v>55</v>
      </c>
      <c r="C13" s="114"/>
      <c r="D13" s="55" t="s">
        <v>57</v>
      </c>
      <c r="E13" s="55" t="s">
        <v>58</v>
      </c>
      <c r="F13" s="55" t="s">
        <v>59</v>
      </c>
      <c r="G13" s="55" t="s">
        <v>60</v>
      </c>
      <c r="H13" s="55" t="s">
        <v>61</v>
      </c>
      <c r="I13" s="55" t="s">
        <v>62</v>
      </c>
      <c r="J13" s="55" t="s">
        <v>63</v>
      </c>
    </row>
    <row r="14" spans="2:11" x14ac:dyDescent="0.35">
      <c r="B14" s="54" t="s">
        <v>56</v>
      </c>
      <c r="C14" s="54"/>
      <c r="D14" s="50">
        <v>222.2</v>
      </c>
      <c r="E14" s="50">
        <v>222</v>
      </c>
      <c r="F14" s="50">
        <v>222.4</v>
      </c>
      <c r="G14" s="50">
        <v>221.8</v>
      </c>
      <c r="H14" s="50">
        <v>221.9</v>
      </c>
      <c r="I14" s="50">
        <v>222.7</v>
      </c>
      <c r="J14" s="50">
        <v>222.5</v>
      </c>
      <c r="K14" s="53"/>
    </row>
    <row r="16" spans="2:11" x14ac:dyDescent="0.35">
      <c r="D16" s="56" t="s">
        <v>64</v>
      </c>
      <c r="E16">
        <v>222.2</v>
      </c>
      <c r="F16" t="s">
        <v>65</v>
      </c>
    </row>
    <row r="18" spans="3:9" ht="15" thickBot="1" x14ac:dyDescent="0.4">
      <c r="D18" s="27"/>
    </row>
    <row r="19" spans="3:9" ht="15.5" thickTop="1" thickBot="1" x14ac:dyDescent="0.4">
      <c r="C19" s="115" t="s">
        <v>0</v>
      </c>
      <c r="D19" s="116"/>
      <c r="E19" s="115" t="s">
        <v>67</v>
      </c>
      <c r="F19" s="116"/>
      <c r="G19" s="115" t="s">
        <v>68</v>
      </c>
      <c r="H19" s="117"/>
      <c r="I19" s="57"/>
    </row>
    <row r="20" spans="3:9" ht="15" thickTop="1" x14ac:dyDescent="0.35">
      <c r="C20" s="118">
        <v>0.996</v>
      </c>
      <c r="D20" s="119"/>
      <c r="E20" s="118">
        <v>0.996</v>
      </c>
      <c r="F20" s="119"/>
      <c r="G20" s="118">
        <v>0.996</v>
      </c>
      <c r="H20" s="119"/>
    </row>
    <row r="38" spans="7:10" x14ac:dyDescent="0.35">
      <c r="G38" s="110" t="s">
        <v>74</v>
      </c>
      <c r="H38" s="110"/>
      <c r="I38" s="110"/>
      <c r="J38" s="110"/>
    </row>
  </sheetData>
  <mergeCells count="18">
    <mergeCell ref="D2:H5"/>
    <mergeCell ref="B2:C5"/>
    <mergeCell ref="B8:C8"/>
    <mergeCell ref="D8:G8"/>
    <mergeCell ref="G38:J38"/>
    <mergeCell ref="B9:C9"/>
    <mergeCell ref="D9:G9"/>
    <mergeCell ref="B10:C10"/>
    <mergeCell ref="D10:G10"/>
    <mergeCell ref="B11:C11"/>
    <mergeCell ref="D11:G11"/>
    <mergeCell ref="B13:C13"/>
    <mergeCell ref="E19:F19"/>
    <mergeCell ref="C19:D19"/>
    <mergeCell ref="G19:H19"/>
    <mergeCell ref="C20:D20"/>
    <mergeCell ref="E20:F20"/>
    <mergeCell ref="G20:H20"/>
  </mergeCells>
  <pageMargins left="0.7" right="0" top="0.75" bottom="0.75" header="0.3" footer="0.3"/>
  <pageSetup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L39"/>
  <sheetViews>
    <sheetView tabSelected="1" workbookViewId="0">
      <selection activeCell="J2" sqref="J2"/>
    </sheetView>
  </sheetViews>
  <sheetFormatPr defaultRowHeight="14.5" x14ac:dyDescent="0.35"/>
  <cols>
    <col min="5" max="5" width="9.1796875" customWidth="1"/>
    <col min="7" max="7" width="8.1796875" customWidth="1"/>
    <col min="8" max="8" width="7.54296875" customWidth="1"/>
    <col min="9" max="9" width="8.81640625" customWidth="1"/>
    <col min="10" max="10" width="13.453125" customWidth="1"/>
  </cols>
  <sheetData>
    <row r="2" spans="2:12" x14ac:dyDescent="0.35">
      <c r="B2" s="129"/>
      <c r="C2" s="130"/>
      <c r="D2" s="136" t="s">
        <v>84</v>
      </c>
      <c r="E2" s="137"/>
      <c r="F2" s="137"/>
      <c r="G2" s="137"/>
      <c r="H2" s="138"/>
      <c r="I2" s="21" t="s">
        <v>43</v>
      </c>
      <c r="J2" s="50" t="s">
        <v>86</v>
      </c>
    </row>
    <row r="3" spans="2:12" x14ac:dyDescent="0.35">
      <c r="B3" s="131"/>
      <c r="C3" s="132"/>
      <c r="D3" s="139"/>
      <c r="E3" s="140"/>
      <c r="F3" s="140"/>
      <c r="G3" s="140"/>
      <c r="H3" s="141"/>
      <c r="I3" s="21" t="s">
        <v>45</v>
      </c>
      <c r="J3" s="50" t="s">
        <v>85</v>
      </c>
    </row>
    <row r="4" spans="2:12" x14ac:dyDescent="0.35">
      <c r="B4" s="131"/>
      <c r="C4" s="132"/>
      <c r="D4" s="139"/>
      <c r="E4" s="140"/>
      <c r="F4" s="140"/>
      <c r="G4" s="140"/>
      <c r="H4" s="141"/>
      <c r="I4" s="21" t="s">
        <v>47</v>
      </c>
      <c r="J4" s="50">
        <v>0</v>
      </c>
    </row>
    <row r="5" spans="2:12" x14ac:dyDescent="0.35">
      <c r="B5" s="133"/>
      <c r="C5" s="134"/>
      <c r="D5" s="142"/>
      <c r="E5" s="143"/>
      <c r="F5" s="143"/>
      <c r="G5" s="143"/>
      <c r="H5" s="144"/>
      <c r="I5" s="21" t="s">
        <v>48</v>
      </c>
      <c r="J5" s="51">
        <v>1</v>
      </c>
    </row>
    <row r="8" spans="2:12" x14ac:dyDescent="0.35">
      <c r="B8" s="135" t="s">
        <v>51</v>
      </c>
      <c r="C8" s="135"/>
      <c r="D8" s="111"/>
      <c r="E8" s="111"/>
      <c r="F8" s="111"/>
      <c r="G8" s="111"/>
    </row>
    <row r="9" spans="2:12" x14ac:dyDescent="0.35">
      <c r="B9" s="111" t="s">
        <v>52</v>
      </c>
      <c r="C9" s="111"/>
      <c r="D9" s="111" t="s">
        <v>50</v>
      </c>
      <c r="E9" s="111"/>
      <c r="F9" s="111"/>
      <c r="G9" s="111"/>
    </row>
    <row r="10" spans="2:12" x14ac:dyDescent="0.35">
      <c r="B10" s="111" t="s">
        <v>2</v>
      </c>
      <c r="C10" s="111"/>
      <c r="D10" s="111"/>
      <c r="E10" s="111"/>
      <c r="F10" s="111"/>
      <c r="G10" s="111"/>
    </row>
    <row r="11" spans="2:12" x14ac:dyDescent="0.35">
      <c r="B11" s="111" t="s">
        <v>54</v>
      </c>
      <c r="C11" s="111"/>
      <c r="D11" s="112">
        <v>44713</v>
      </c>
      <c r="E11" s="111"/>
      <c r="F11" s="111"/>
      <c r="G11" s="111"/>
    </row>
    <row r="13" spans="2:12" x14ac:dyDescent="0.35">
      <c r="B13" s="113" t="s">
        <v>55</v>
      </c>
      <c r="C13" s="114"/>
      <c r="D13" s="55" t="s">
        <v>57</v>
      </c>
      <c r="E13" s="55" t="s">
        <v>58</v>
      </c>
      <c r="F13" s="55" t="s">
        <v>59</v>
      </c>
      <c r="G13" s="55" t="s">
        <v>60</v>
      </c>
      <c r="H13" s="55" t="s">
        <v>61</v>
      </c>
      <c r="I13" s="55" t="s">
        <v>62</v>
      </c>
      <c r="J13" s="55" t="s">
        <v>63</v>
      </c>
    </row>
    <row r="14" spans="2:12" x14ac:dyDescent="0.35">
      <c r="B14" s="54"/>
      <c r="C14" s="54"/>
      <c r="D14" s="50"/>
      <c r="E14" s="50"/>
      <c r="F14" s="50"/>
      <c r="G14" s="50"/>
      <c r="H14" s="50"/>
      <c r="I14" s="50"/>
      <c r="J14" s="62"/>
      <c r="K14" s="61"/>
      <c r="L14" s="27"/>
    </row>
    <row r="16" spans="2:12" x14ac:dyDescent="0.35">
      <c r="D16" s="56" t="s">
        <v>64</v>
      </c>
      <c r="E16">
        <v>219.6</v>
      </c>
      <c r="F16" t="s">
        <v>65</v>
      </c>
    </row>
    <row r="18" spans="3:9" ht="15" thickBot="1" x14ac:dyDescent="0.4">
      <c r="D18" s="27"/>
    </row>
    <row r="19" spans="3:9" ht="15.5" thickTop="1" thickBot="1" x14ac:dyDescent="0.4">
      <c r="C19" s="115" t="s">
        <v>0</v>
      </c>
      <c r="D19" s="116"/>
      <c r="E19" s="115" t="s">
        <v>67</v>
      </c>
      <c r="F19" s="116"/>
      <c r="G19" s="115" t="s">
        <v>68</v>
      </c>
      <c r="H19" s="117"/>
      <c r="I19" s="57"/>
    </row>
    <row r="20" spans="3:9" ht="15" thickTop="1" x14ac:dyDescent="0.35">
      <c r="C20" s="118"/>
      <c r="D20" s="119"/>
      <c r="E20" s="118"/>
      <c r="F20" s="119"/>
      <c r="G20" s="118"/>
      <c r="H20" s="119"/>
    </row>
    <row r="38" spans="6:8" x14ac:dyDescent="0.35">
      <c r="F38" s="111" t="s">
        <v>72</v>
      </c>
      <c r="G38" s="110"/>
      <c r="H38" s="110"/>
    </row>
    <row r="39" spans="6:8" x14ac:dyDescent="0.35">
      <c r="F39" s="111"/>
      <c r="G39" s="110"/>
      <c r="H39" s="110"/>
    </row>
  </sheetData>
  <mergeCells count="19">
    <mergeCell ref="C19:D19"/>
    <mergeCell ref="E19:F19"/>
    <mergeCell ref="G19:H19"/>
    <mergeCell ref="F38:H38"/>
    <mergeCell ref="F39:H39"/>
    <mergeCell ref="C20:D20"/>
    <mergeCell ref="E20:F20"/>
    <mergeCell ref="G20:H20"/>
    <mergeCell ref="B2:C5"/>
    <mergeCell ref="D2:H5"/>
    <mergeCell ref="B8:C8"/>
    <mergeCell ref="D8:G8"/>
    <mergeCell ref="B9:C9"/>
    <mergeCell ref="D9:G9"/>
    <mergeCell ref="B10:C10"/>
    <mergeCell ref="D10:G10"/>
    <mergeCell ref="B11:C11"/>
    <mergeCell ref="D11:G11"/>
    <mergeCell ref="B13:C13"/>
  </mergeCells>
  <pageMargins left="0.25" right="1.04" top="0.75" bottom="0.75" header="1" footer="0.3"/>
  <pageSetup scale="95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J39"/>
  <sheetViews>
    <sheetView topLeftCell="A2" workbookViewId="0">
      <selection activeCell="D2" sqref="D2:H5"/>
    </sheetView>
  </sheetViews>
  <sheetFormatPr defaultRowHeight="14.5" x14ac:dyDescent="0.35"/>
  <cols>
    <col min="5" max="5" width="9.1796875" customWidth="1"/>
    <col min="7" max="7" width="8.1796875" customWidth="1"/>
    <col min="8" max="8" width="7.54296875" customWidth="1"/>
    <col min="10" max="10" width="13.453125" customWidth="1"/>
  </cols>
  <sheetData>
    <row r="2" spans="2:10" x14ac:dyDescent="0.35">
      <c r="B2" s="129"/>
      <c r="C2" s="130"/>
      <c r="D2" s="136" t="s">
        <v>84</v>
      </c>
      <c r="E2" s="137"/>
      <c r="F2" s="137"/>
      <c r="G2" s="137"/>
      <c r="H2" s="138"/>
      <c r="I2" s="21" t="s">
        <v>43</v>
      </c>
      <c r="J2" s="50" t="s">
        <v>44</v>
      </c>
    </row>
    <row r="3" spans="2:10" x14ac:dyDescent="0.35">
      <c r="B3" s="131"/>
      <c r="C3" s="132"/>
      <c r="D3" s="139"/>
      <c r="E3" s="140"/>
      <c r="F3" s="140"/>
      <c r="G3" s="140"/>
      <c r="H3" s="141"/>
      <c r="I3" s="21" t="s">
        <v>45</v>
      </c>
      <c r="J3" s="50" t="s">
        <v>46</v>
      </c>
    </row>
    <row r="4" spans="2:10" x14ac:dyDescent="0.35">
      <c r="B4" s="131"/>
      <c r="C4" s="132"/>
      <c r="D4" s="139"/>
      <c r="E4" s="140"/>
      <c r="F4" s="140"/>
      <c r="G4" s="140"/>
      <c r="H4" s="141"/>
      <c r="I4" s="21" t="s">
        <v>47</v>
      </c>
      <c r="J4" s="50">
        <v>0</v>
      </c>
    </row>
    <row r="5" spans="2:10" x14ac:dyDescent="0.35">
      <c r="B5" s="133"/>
      <c r="C5" s="134"/>
      <c r="D5" s="142"/>
      <c r="E5" s="143"/>
      <c r="F5" s="143"/>
      <c r="G5" s="143"/>
      <c r="H5" s="144"/>
      <c r="I5" s="21" t="s">
        <v>48</v>
      </c>
      <c r="J5" s="51">
        <v>1</v>
      </c>
    </row>
    <row r="8" spans="2:10" x14ac:dyDescent="0.35">
      <c r="B8" s="135" t="s">
        <v>51</v>
      </c>
      <c r="C8" s="135"/>
      <c r="D8" s="111" t="s">
        <v>69</v>
      </c>
      <c r="E8" s="111"/>
      <c r="F8" s="111"/>
      <c r="G8" s="111"/>
    </row>
    <row r="9" spans="2:10" x14ac:dyDescent="0.35">
      <c r="B9" s="111" t="s">
        <v>52</v>
      </c>
      <c r="C9" s="111"/>
      <c r="D9" s="111" t="s">
        <v>50</v>
      </c>
      <c r="E9" s="111"/>
      <c r="F9" s="111"/>
      <c r="G9" s="111"/>
    </row>
    <row r="10" spans="2:10" x14ac:dyDescent="0.35">
      <c r="B10" s="111" t="s">
        <v>2</v>
      </c>
      <c r="C10" s="111"/>
      <c r="D10" s="111" t="s">
        <v>53</v>
      </c>
      <c r="E10" s="111"/>
      <c r="F10" s="111"/>
      <c r="G10" s="111"/>
    </row>
    <row r="11" spans="2:10" x14ac:dyDescent="0.35">
      <c r="B11" s="111" t="s">
        <v>54</v>
      </c>
      <c r="C11" s="111"/>
      <c r="D11" s="112">
        <v>44837</v>
      </c>
      <c r="E11" s="111"/>
      <c r="F11" s="111"/>
      <c r="G11" s="111"/>
    </row>
    <row r="13" spans="2:10" x14ac:dyDescent="0.35">
      <c r="B13" s="15"/>
      <c r="C13" s="15"/>
      <c r="D13" s="15"/>
      <c r="E13" s="15"/>
    </row>
    <row r="14" spans="2:10" x14ac:dyDescent="0.35">
      <c r="C14" s="59"/>
      <c r="D14" s="56"/>
      <c r="E14" s="56"/>
      <c r="J14" s="61"/>
    </row>
    <row r="15" spans="2:10" x14ac:dyDescent="0.35">
      <c r="C15" s="52"/>
      <c r="D15" s="27"/>
      <c r="E15" s="60"/>
    </row>
    <row r="16" spans="2:10" x14ac:dyDescent="0.35">
      <c r="C16" s="52"/>
      <c r="E16" s="58"/>
    </row>
    <row r="17" spans="3:5" x14ac:dyDescent="0.35">
      <c r="C17" s="56" t="s">
        <v>71</v>
      </c>
      <c r="D17">
        <v>2021</v>
      </c>
      <c r="E17">
        <v>2022</v>
      </c>
    </row>
    <row r="18" spans="3:5" x14ac:dyDescent="0.35">
      <c r="C18" s="56" t="s">
        <v>70</v>
      </c>
      <c r="D18">
        <v>222.2</v>
      </c>
      <c r="E18">
        <v>219.6</v>
      </c>
    </row>
    <row r="19" spans="3:5" x14ac:dyDescent="0.35">
      <c r="C19" s="56" t="s">
        <v>66</v>
      </c>
      <c r="D19" s="58">
        <v>0.996</v>
      </c>
      <c r="E19" s="58">
        <v>0.98440000000000005</v>
      </c>
    </row>
    <row r="38" spans="2:9" x14ac:dyDescent="0.35">
      <c r="B38" s="110"/>
      <c r="C38" s="110"/>
      <c r="G38" s="111" t="s">
        <v>72</v>
      </c>
      <c r="H38" s="110"/>
      <c r="I38" s="110"/>
    </row>
    <row r="39" spans="2:9" x14ac:dyDescent="0.35">
      <c r="I39" t="s">
        <v>73</v>
      </c>
    </row>
  </sheetData>
  <mergeCells count="12">
    <mergeCell ref="B2:C5"/>
    <mergeCell ref="D2:H5"/>
    <mergeCell ref="B8:C8"/>
    <mergeCell ref="D8:G8"/>
    <mergeCell ref="B9:C9"/>
    <mergeCell ref="D9:G9"/>
    <mergeCell ref="B38:C38"/>
    <mergeCell ref="G38:I38"/>
    <mergeCell ref="B10:C10"/>
    <mergeCell ref="D10:G10"/>
    <mergeCell ref="B11:C11"/>
    <mergeCell ref="D11:G11"/>
  </mergeCells>
  <pageMargins left="0.7" right="0.7" top="0.75" bottom="0.75" header="0.3" footer="0.3"/>
  <pageSetup scale="97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L39"/>
  <sheetViews>
    <sheetView workbookViewId="0">
      <selection activeCell="D2" sqref="D2:H5"/>
    </sheetView>
  </sheetViews>
  <sheetFormatPr defaultRowHeight="14.5" x14ac:dyDescent="0.35"/>
  <cols>
    <col min="5" max="5" width="9.1796875" customWidth="1"/>
    <col min="7" max="7" width="8.1796875" customWidth="1"/>
    <col min="8" max="8" width="7.54296875" customWidth="1"/>
    <col min="9" max="9" width="8.81640625" customWidth="1"/>
    <col min="10" max="10" width="13.453125" customWidth="1"/>
  </cols>
  <sheetData>
    <row r="2" spans="2:12" x14ac:dyDescent="0.35">
      <c r="B2" s="129"/>
      <c r="C2" s="130"/>
      <c r="D2" s="120" t="s">
        <v>84</v>
      </c>
      <c r="E2" s="121"/>
      <c r="F2" s="121"/>
      <c r="G2" s="121"/>
      <c r="H2" s="122"/>
      <c r="I2" s="21" t="s">
        <v>43</v>
      </c>
      <c r="J2" s="50" t="s">
        <v>44</v>
      </c>
    </row>
    <row r="3" spans="2:12" x14ac:dyDescent="0.35">
      <c r="B3" s="131"/>
      <c r="C3" s="132"/>
      <c r="D3" s="123"/>
      <c r="E3" s="124"/>
      <c r="F3" s="124"/>
      <c r="G3" s="124"/>
      <c r="H3" s="125"/>
      <c r="I3" s="21" t="s">
        <v>45</v>
      </c>
      <c r="J3" s="50" t="s">
        <v>46</v>
      </c>
    </row>
    <row r="4" spans="2:12" x14ac:dyDescent="0.35">
      <c r="B4" s="131"/>
      <c r="C4" s="132"/>
      <c r="D4" s="123"/>
      <c r="E4" s="124"/>
      <c r="F4" s="124"/>
      <c r="G4" s="124"/>
      <c r="H4" s="125"/>
      <c r="I4" s="21" t="s">
        <v>47</v>
      </c>
      <c r="J4" s="50">
        <v>0</v>
      </c>
    </row>
    <row r="5" spans="2:12" x14ac:dyDescent="0.35">
      <c r="B5" s="133"/>
      <c r="C5" s="134"/>
      <c r="D5" s="126"/>
      <c r="E5" s="127"/>
      <c r="F5" s="127"/>
      <c r="G5" s="127"/>
      <c r="H5" s="128"/>
      <c r="I5" s="21" t="s">
        <v>48</v>
      </c>
      <c r="J5" s="51">
        <v>1</v>
      </c>
    </row>
    <row r="8" spans="2:12" x14ac:dyDescent="0.35">
      <c r="B8" s="135" t="s">
        <v>51</v>
      </c>
      <c r="C8" s="135"/>
      <c r="D8" s="111" t="s">
        <v>17</v>
      </c>
      <c r="E8" s="111"/>
      <c r="F8" s="111"/>
      <c r="G8" s="111"/>
    </row>
    <row r="9" spans="2:12" x14ac:dyDescent="0.35">
      <c r="B9" s="111" t="s">
        <v>52</v>
      </c>
      <c r="C9" s="111"/>
      <c r="D9" s="111" t="s">
        <v>50</v>
      </c>
      <c r="E9" s="111"/>
      <c r="F9" s="111"/>
      <c r="G9" s="111"/>
    </row>
    <row r="10" spans="2:12" x14ac:dyDescent="0.35">
      <c r="B10" s="111" t="s">
        <v>2</v>
      </c>
      <c r="C10" s="111"/>
      <c r="D10" s="111" t="s">
        <v>75</v>
      </c>
      <c r="E10" s="111"/>
      <c r="F10" s="111"/>
      <c r="G10" s="111"/>
    </row>
    <row r="11" spans="2:12" x14ac:dyDescent="0.35">
      <c r="B11" s="111" t="s">
        <v>54</v>
      </c>
      <c r="C11" s="111"/>
      <c r="D11" s="112">
        <v>44348</v>
      </c>
      <c r="E11" s="111"/>
      <c r="F11" s="111"/>
      <c r="G11" s="111"/>
    </row>
    <row r="13" spans="2:12" x14ac:dyDescent="0.35">
      <c r="B13" s="113" t="s">
        <v>55</v>
      </c>
      <c r="C13" s="114"/>
      <c r="D13" s="55" t="s">
        <v>57</v>
      </c>
      <c r="E13" s="55" t="s">
        <v>58</v>
      </c>
      <c r="F13" s="55" t="s">
        <v>59</v>
      </c>
      <c r="G13" s="55" t="s">
        <v>60</v>
      </c>
      <c r="H13" s="55" t="s">
        <v>61</v>
      </c>
      <c r="I13" s="55" t="s">
        <v>62</v>
      </c>
      <c r="J13" s="55" t="s">
        <v>63</v>
      </c>
    </row>
    <row r="14" spans="2:12" x14ac:dyDescent="0.35">
      <c r="B14" s="145" t="s">
        <v>76</v>
      </c>
      <c r="C14" s="146"/>
      <c r="D14" s="50">
        <v>7.6</v>
      </c>
      <c r="E14" s="50">
        <v>7.61</v>
      </c>
      <c r="F14" s="50">
        <v>7.59</v>
      </c>
      <c r="G14" s="50">
        <v>7.58</v>
      </c>
      <c r="H14" s="50">
        <v>7.6</v>
      </c>
      <c r="I14" s="50">
        <v>7.59</v>
      </c>
      <c r="J14" s="62">
        <v>7.58</v>
      </c>
      <c r="K14" s="61"/>
      <c r="L14" s="27"/>
    </row>
    <row r="16" spans="2:12" x14ac:dyDescent="0.35">
      <c r="D16" s="56" t="s">
        <v>64</v>
      </c>
      <c r="E16">
        <v>7.62</v>
      </c>
    </row>
    <row r="18" spans="3:9" ht="15" thickBot="1" x14ac:dyDescent="0.4">
      <c r="D18" s="27"/>
    </row>
    <row r="19" spans="3:9" ht="15.5" thickTop="1" thickBot="1" x14ac:dyDescent="0.4">
      <c r="C19" s="115" t="s">
        <v>0</v>
      </c>
      <c r="D19" s="116"/>
      <c r="E19" s="115" t="s">
        <v>67</v>
      </c>
      <c r="F19" s="116"/>
      <c r="G19" s="115" t="s">
        <v>68</v>
      </c>
      <c r="H19" s="117"/>
      <c r="I19" s="57"/>
    </row>
    <row r="20" spans="3:9" ht="15" thickTop="1" x14ac:dyDescent="0.35">
      <c r="C20" s="118">
        <v>0.998</v>
      </c>
      <c r="D20" s="119"/>
      <c r="E20" s="118">
        <v>0.998</v>
      </c>
      <c r="F20" s="119"/>
      <c r="G20" s="118">
        <v>0.998</v>
      </c>
      <c r="H20" s="119"/>
    </row>
    <row r="38" spans="6:8" x14ac:dyDescent="0.35">
      <c r="F38" s="111" t="s">
        <v>72</v>
      </c>
      <c r="G38" s="110"/>
      <c r="H38" s="110"/>
    </row>
    <row r="39" spans="6:8" x14ac:dyDescent="0.35">
      <c r="F39" s="111"/>
      <c r="G39" s="110"/>
      <c r="H39" s="110"/>
    </row>
  </sheetData>
  <mergeCells count="20">
    <mergeCell ref="C19:D19"/>
    <mergeCell ref="E19:F19"/>
    <mergeCell ref="G19:H19"/>
    <mergeCell ref="B2:C5"/>
    <mergeCell ref="D2:H5"/>
    <mergeCell ref="B8:C8"/>
    <mergeCell ref="D8:G8"/>
    <mergeCell ref="B9:C9"/>
    <mergeCell ref="D9:G9"/>
    <mergeCell ref="B14:C14"/>
    <mergeCell ref="B10:C10"/>
    <mergeCell ref="D10:G10"/>
    <mergeCell ref="B11:C11"/>
    <mergeCell ref="D11:G11"/>
    <mergeCell ref="B13:C13"/>
    <mergeCell ref="C20:D20"/>
    <mergeCell ref="E20:F20"/>
    <mergeCell ref="G20:H20"/>
    <mergeCell ref="F38:H38"/>
    <mergeCell ref="F39:H39"/>
  </mergeCells>
  <pageMargins left="0.25" right="1.04" top="0.75" bottom="0.75" header="1" footer="0.3"/>
  <pageSetup scale="95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L39"/>
  <sheetViews>
    <sheetView topLeftCell="A2" workbookViewId="0">
      <selection activeCell="D2" sqref="D2:H5"/>
    </sheetView>
  </sheetViews>
  <sheetFormatPr defaultRowHeight="14.5" x14ac:dyDescent="0.35"/>
  <cols>
    <col min="5" max="5" width="9.1796875" customWidth="1"/>
    <col min="7" max="7" width="8.1796875" customWidth="1"/>
    <col min="8" max="8" width="7.54296875" customWidth="1"/>
    <col min="9" max="9" width="8.81640625" customWidth="1"/>
    <col min="10" max="10" width="13.453125" customWidth="1"/>
  </cols>
  <sheetData>
    <row r="2" spans="2:12" x14ac:dyDescent="0.35">
      <c r="B2" s="129"/>
      <c r="C2" s="130"/>
      <c r="D2" s="136" t="s">
        <v>84</v>
      </c>
      <c r="E2" s="137"/>
      <c r="F2" s="137"/>
      <c r="G2" s="137"/>
      <c r="H2" s="138"/>
      <c r="I2" s="21" t="s">
        <v>43</v>
      </c>
      <c r="J2" s="50" t="s">
        <v>44</v>
      </c>
    </row>
    <row r="3" spans="2:12" x14ac:dyDescent="0.35">
      <c r="B3" s="131"/>
      <c r="C3" s="132"/>
      <c r="D3" s="139"/>
      <c r="E3" s="140"/>
      <c r="F3" s="140"/>
      <c r="G3" s="140"/>
      <c r="H3" s="141"/>
      <c r="I3" s="21" t="s">
        <v>45</v>
      </c>
      <c r="J3" s="50" t="s">
        <v>46</v>
      </c>
    </row>
    <row r="4" spans="2:12" x14ac:dyDescent="0.35">
      <c r="B4" s="131"/>
      <c r="C4" s="132"/>
      <c r="D4" s="139"/>
      <c r="E4" s="140"/>
      <c r="F4" s="140"/>
      <c r="G4" s="140"/>
      <c r="H4" s="141"/>
      <c r="I4" s="21" t="s">
        <v>47</v>
      </c>
      <c r="J4" s="50">
        <v>0</v>
      </c>
    </row>
    <row r="5" spans="2:12" x14ac:dyDescent="0.35">
      <c r="B5" s="133"/>
      <c r="C5" s="134"/>
      <c r="D5" s="142"/>
      <c r="E5" s="143"/>
      <c r="F5" s="143"/>
      <c r="G5" s="143"/>
      <c r="H5" s="144"/>
      <c r="I5" s="21" t="s">
        <v>48</v>
      </c>
      <c r="J5" s="51">
        <v>1</v>
      </c>
    </row>
    <row r="8" spans="2:12" x14ac:dyDescent="0.35">
      <c r="B8" s="135" t="s">
        <v>51</v>
      </c>
      <c r="C8" s="135"/>
      <c r="D8" s="111" t="s">
        <v>17</v>
      </c>
      <c r="E8" s="111"/>
      <c r="F8" s="111"/>
      <c r="G8" s="111"/>
    </row>
    <row r="9" spans="2:12" x14ac:dyDescent="0.35">
      <c r="B9" s="111" t="s">
        <v>52</v>
      </c>
      <c r="C9" s="111"/>
      <c r="D9" s="111" t="s">
        <v>50</v>
      </c>
      <c r="E9" s="111"/>
      <c r="F9" s="111"/>
      <c r="G9" s="111"/>
    </row>
    <row r="10" spans="2:12" x14ac:dyDescent="0.35">
      <c r="B10" s="111" t="s">
        <v>2</v>
      </c>
      <c r="C10" s="111"/>
      <c r="D10" s="111" t="s">
        <v>75</v>
      </c>
      <c r="E10" s="111"/>
      <c r="F10" s="111"/>
      <c r="G10" s="111"/>
    </row>
    <row r="11" spans="2:12" x14ac:dyDescent="0.35">
      <c r="B11" s="111" t="s">
        <v>54</v>
      </c>
      <c r="C11" s="111"/>
      <c r="D11" s="112">
        <v>44835</v>
      </c>
      <c r="E11" s="111"/>
      <c r="F11" s="111"/>
      <c r="G11" s="111"/>
    </row>
    <row r="13" spans="2:12" x14ac:dyDescent="0.35">
      <c r="B13" s="113" t="s">
        <v>55</v>
      </c>
      <c r="C13" s="114"/>
      <c r="D13" s="55" t="s">
        <v>57</v>
      </c>
      <c r="E13" s="55" t="s">
        <v>58</v>
      </c>
      <c r="F13" s="55" t="s">
        <v>59</v>
      </c>
      <c r="G13" s="55" t="s">
        <v>60</v>
      </c>
      <c r="H13" s="55" t="s">
        <v>61</v>
      </c>
      <c r="I13" s="55" t="s">
        <v>62</v>
      </c>
      <c r="J13" s="55" t="s">
        <v>63</v>
      </c>
    </row>
    <row r="14" spans="2:12" x14ac:dyDescent="0.35">
      <c r="B14" s="145">
        <v>7.56</v>
      </c>
      <c r="C14" s="146"/>
      <c r="D14" s="50">
        <v>7.52</v>
      </c>
      <c r="E14" s="50">
        <v>7.52</v>
      </c>
      <c r="F14" s="50">
        <v>7.54</v>
      </c>
      <c r="G14" s="50">
        <v>7.55</v>
      </c>
      <c r="H14" s="50">
        <v>7.54</v>
      </c>
      <c r="I14" s="50">
        <v>7.54</v>
      </c>
      <c r="J14" s="62">
        <v>7.51</v>
      </c>
      <c r="K14" s="61"/>
      <c r="L14" s="27"/>
    </row>
    <row r="16" spans="2:12" x14ac:dyDescent="0.35">
      <c r="D16" s="56" t="s">
        <v>64</v>
      </c>
      <c r="E16">
        <v>7.53</v>
      </c>
    </row>
    <row r="18" spans="3:9" ht="15" thickBot="1" x14ac:dyDescent="0.4">
      <c r="D18" s="27"/>
    </row>
    <row r="19" spans="3:9" ht="15.5" thickTop="1" thickBot="1" x14ac:dyDescent="0.4">
      <c r="C19" s="115" t="s">
        <v>0</v>
      </c>
      <c r="D19" s="116"/>
      <c r="E19" s="115" t="s">
        <v>67</v>
      </c>
      <c r="F19" s="116"/>
      <c r="G19" s="115" t="s">
        <v>68</v>
      </c>
      <c r="H19" s="117"/>
      <c r="I19" s="57"/>
    </row>
    <row r="20" spans="3:9" ht="15" thickTop="1" x14ac:dyDescent="0.35">
      <c r="C20" s="118">
        <v>0.996</v>
      </c>
      <c r="D20" s="119"/>
      <c r="E20" s="118">
        <v>0.996</v>
      </c>
      <c r="F20" s="119"/>
      <c r="G20" s="118">
        <v>0.996</v>
      </c>
      <c r="H20" s="119"/>
    </row>
    <row r="38" spans="6:8" x14ac:dyDescent="0.35">
      <c r="F38" s="111" t="s">
        <v>72</v>
      </c>
      <c r="G38" s="110"/>
      <c r="H38" s="110"/>
    </row>
    <row r="39" spans="6:8" x14ac:dyDescent="0.35">
      <c r="F39" s="111"/>
      <c r="G39" s="110"/>
      <c r="H39" s="110"/>
    </row>
  </sheetData>
  <mergeCells count="20">
    <mergeCell ref="B14:C14"/>
    <mergeCell ref="B2:C5"/>
    <mergeCell ref="D2:H5"/>
    <mergeCell ref="B8:C8"/>
    <mergeCell ref="D8:G8"/>
    <mergeCell ref="B9:C9"/>
    <mergeCell ref="D9:G9"/>
    <mergeCell ref="B10:C10"/>
    <mergeCell ref="D10:G10"/>
    <mergeCell ref="B11:C11"/>
    <mergeCell ref="D11:G11"/>
    <mergeCell ref="B13:C13"/>
    <mergeCell ref="F38:H38"/>
    <mergeCell ref="F39:H39"/>
    <mergeCell ref="C19:D19"/>
    <mergeCell ref="E19:F19"/>
    <mergeCell ref="G19:H19"/>
    <mergeCell ref="C20:D20"/>
    <mergeCell ref="E20:F20"/>
    <mergeCell ref="G20:H20"/>
  </mergeCells>
  <pageMargins left="0.25" right="1.04" top="0.75" bottom="0.75" header="1" footer="0.3"/>
  <pageSetup scale="95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2:J39"/>
  <sheetViews>
    <sheetView topLeftCell="A2" workbookViewId="0">
      <selection activeCell="G39" sqref="G39"/>
    </sheetView>
  </sheetViews>
  <sheetFormatPr defaultRowHeight="14.5" x14ac:dyDescent="0.35"/>
  <cols>
    <col min="5" max="5" width="9.1796875" customWidth="1"/>
    <col min="7" max="7" width="8.1796875" customWidth="1"/>
    <col min="8" max="8" width="7.54296875" customWidth="1"/>
    <col min="10" max="10" width="13.453125" customWidth="1"/>
  </cols>
  <sheetData>
    <row r="2" spans="2:10" x14ac:dyDescent="0.35">
      <c r="B2" s="129"/>
      <c r="C2" s="130"/>
      <c r="D2" s="136" t="s">
        <v>84</v>
      </c>
      <c r="E2" s="137"/>
      <c r="F2" s="137"/>
      <c r="G2" s="137"/>
      <c r="H2" s="138"/>
      <c r="I2" s="21" t="s">
        <v>43</v>
      </c>
      <c r="J2" s="50" t="s">
        <v>44</v>
      </c>
    </row>
    <row r="3" spans="2:10" x14ac:dyDescent="0.35">
      <c r="B3" s="131"/>
      <c r="C3" s="132"/>
      <c r="D3" s="139"/>
      <c r="E3" s="140"/>
      <c r="F3" s="140"/>
      <c r="G3" s="140"/>
      <c r="H3" s="141"/>
      <c r="I3" s="21" t="s">
        <v>45</v>
      </c>
      <c r="J3" s="50" t="s">
        <v>46</v>
      </c>
    </row>
    <row r="4" spans="2:10" x14ac:dyDescent="0.35">
      <c r="B4" s="131"/>
      <c r="C4" s="132"/>
      <c r="D4" s="139"/>
      <c r="E4" s="140"/>
      <c r="F4" s="140"/>
      <c r="G4" s="140"/>
      <c r="H4" s="141"/>
      <c r="I4" s="21" t="s">
        <v>47</v>
      </c>
      <c r="J4" s="50">
        <v>0</v>
      </c>
    </row>
    <row r="5" spans="2:10" x14ac:dyDescent="0.35">
      <c r="B5" s="133"/>
      <c r="C5" s="134"/>
      <c r="D5" s="142"/>
      <c r="E5" s="143"/>
      <c r="F5" s="143"/>
      <c r="G5" s="143"/>
      <c r="H5" s="144"/>
      <c r="I5" s="21" t="s">
        <v>48</v>
      </c>
      <c r="J5" s="51">
        <v>1</v>
      </c>
    </row>
    <row r="8" spans="2:10" x14ac:dyDescent="0.35">
      <c r="B8" s="135" t="s">
        <v>51</v>
      </c>
      <c r="C8" s="135"/>
      <c r="D8" s="111" t="s">
        <v>77</v>
      </c>
      <c r="E8" s="111"/>
      <c r="F8" s="111"/>
      <c r="G8" s="111"/>
    </row>
    <row r="9" spans="2:10" x14ac:dyDescent="0.35">
      <c r="B9" s="111" t="s">
        <v>52</v>
      </c>
      <c r="C9" s="111"/>
      <c r="D9" s="111" t="s">
        <v>50</v>
      </c>
      <c r="E9" s="111"/>
      <c r="F9" s="111"/>
      <c r="G9" s="111"/>
    </row>
    <row r="10" spans="2:10" x14ac:dyDescent="0.35">
      <c r="B10" s="111" t="s">
        <v>2</v>
      </c>
      <c r="C10" s="111"/>
      <c r="D10" s="111" t="s">
        <v>53</v>
      </c>
      <c r="E10" s="111"/>
      <c r="F10" s="111"/>
      <c r="G10" s="111"/>
    </row>
    <row r="11" spans="2:10" x14ac:dyDescent="0.35">
      <c r="B11" s="111" t="s">
        <v>54</v>
      </c>
      <c r="C11" s="111"/>
      <c r="D11" s="112">
        <v>44837</v>
      </c>
      <c r="E11" s="111"/>
      <c r="F11" s="111"/>
      <c r="G11" s="111"/>
    </row>
    <row r="13" spans="2:10" x14ac:dyDescent="0.35">
      <c r="B13" s="15"/>
      <c r="C13" s="15"/>
      <c r="D13" s="15"/>
      <c r="E13" s="15"/>
    </row>
    <row r="14" spans="2:10" x14ac:dyDescent="0.35">
      <c r="C14" s="59"/>
      <c r="D14" s="56"/>
      <c r="E14" s="56"/>
      <c r="J14" s="61"/>
    </row>
    <row r="15" spans="2:10" x14ac:dyDescent="0.35">
      <c r="C15" s="52"/>
      <c r="D15" s="27"/>
      <c r="E15" s="60"/>
    </row>
    <row r="16" spans="2:10" x14ac:dyDescent="0.35">
      <c r="C16" s="52"/>
      <c r="E16" s="58"/>
    </row>
    <row r="17" spans="3:5" x14ac:dyDescent="0.35">
      <c r="C17" s="56" t="s">
        <v>71</v>
      </c>
      <c r="D17">
        <v>2021</v>
      </c>
      <c r="E17">
        <v>2022</v>
      </c>
    </row>
    <row r="18" spans="3:5" x14ac:dyDescent="0.35">
      <c r="C18" s="56" t="s">
        <v>70</v>
      </c>
      <c r="D18">
        <v>7.63</v>
      </c>
      <c r="E18">
        <v>7.53</v>
      </c>
    </row>
    <row r="19" spans="3:5" x14ac:dyDescent="0.35">
      <c r="C19" s="56" t="s">
        <v>66</v>
      </c>
      <c r="D19" s="58">
        <v>0.996</v>
      </c>
      <c r="E19" s="58">
        <v>0.98440000000000005</v>
      </c>
    </row>
    <row r="38" spans="2:9" x14ac:dyDescent="0.35">
      <c r="B38" s="110"/>
      <c r="C38" s="110"/>
      <c r="G38" s="111" t="s">
        <v>72</v>
      </c>
      <c r="H38" s="110"/>
      <c r="I38" s="110"/>
    </row>
    <row r="39" spans="2:9" x14ac:dyDescent="0.35">
      <c r="I39" t="s">
        <v>73</v>
      </c>
    </row>
  </sheetData>
  <mergeCells count="12">
    <mergeCell ref="B2:C5"/>
    <mergeCell ref="D2:H5"/>
    <mergeCell ref="B8:C8"/>
    <mergeCell ref="D8:G8"/>
    <mergeCell ref="B9:C9"/>
    <mergeCell ref="D9:G9"/>
    <mergeCell ref="B10:C10"/>
    <mergeCell ref="D10:G10"/>
    <mergeCell ref="B11:C11"/>
    <mergeCell ref="D11:G11"/>
    <mergeCell ref="B38:C38"/>
    <mergeCell ref="G38:I38"/>
  </mergeCells>
  <pageMargins left="0.7" right="0.7" top="0.75" bottom="0.75" header="0.3" footer="0.3"/>
  <pageSetup scale="97"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L39"/>
  <sheetViews>
    <sheetView workbookViewId="0">
      <selection activeCell="D2" sqref="D2:H5"/>
    </sheetView>
  </sheetViews>
  <sheetFormatPr defaultRowHeight="14.5" x14ac:dyDescent="0.35"/>
  <cols>
    <col min="5" max="5" width="9.1796875" customWidth="1"/>
    <col min="7" max="7" width="8.1796875" customWidth="1"/>
    <col min="8" max="8" width="7.54296875" customWidth="1"/>
    <col min="9" max="9" width="8.81640625" customWidth="1"/>
    <col min="10" max="10" width="13.453125" customWidth="1"/>
  </cols>
  <sheetData>
    <row r="2" spans="2:12" x14ac:dyDescent="0.35">
      <c r="B2" s="129"/>
      <c r="C2" s="130"/>
      <c r="D2" s="120" t="s">
        <v>84</v>
      </c>
      <c r="E2" s="121"/>
      <c r="F2" s="121"/>
      <c r="G2" s="121"/>
      <c r="H2" s="122"/>
      <c r="I2" s="21" t="s">
        <v>43</v>
      </c>
      <c r="J2" s="50" t="s">
        <v>44</v>
      </c>
    </row>
    <row r="3" spans="2:12" x14ac:dyDescent="0.35">
      <c r="B3" s="131"/>
      <c r="C3" s="132"/>
      <c r="D3" s="123"/>
      <c r="E3" s="124"/>
      <c r="F3" s="124"/>
      <c r="G3" s="124"/>
      <c r="H3" s="125"/>
      <c r="I3" s="21" t="s">
        <v>45</v>
      </c>
      <c r="J3" s="50" t="s">
        <v>46</v>
      </c>
    </row>
    <row r="4" spans="2:12" x14ac:dyDescent="0.35">
      <c r="B4" s="131"/>
      <c r="C4" s="132"/>
      <c r="D4" s="123"/>
      <c r="E4" s="124"/>
      <c r="F4" s="124"/>
      <c r="G4" s="124"/>
      <c r="H4" s="125"/>
      <c r="I4" s="21" t="s">
        <v>47</v>
      </c>
      <c r="J4" s="50">
        <v>0</v>
      </c>
    </row>
    <row r="5" spans="2:12" x14ac:dyDescent="0.35">
      <c r="B5" s="133"/>
      <c r="C5" s="134"/>
      <c r="D5" s="126"/>
      <c r="E5" s="127"/>
      <c r="F5" s="127"/>
      <c r="G5" s="127"/>
      <c r="H5" s="128"/>
      <c r="I5" s="21" t="s">
        <v>48</v>
      </c>
      <c r="J5" s="51">
        <v>1</v>
      </c>
    </row>
    <row r="8" spans="2:12" x14ac:dyDescent="0.35">
      <c r="B8" s="135" t="s">
        <v>51</v>
      </c>
      <c r="C8" s="135"/>
      <c r="D8" s="111" t="s">
        <v>78</v>
      </c>
      <c r="E8" s="111"/>
      <c r="F8" s="111"/>
      <c r="G8" s="111"/>
    </row>
    <row r="9" spans="2:12" x14ac:dyDescent="0.35">
      <c r="B9" s="111" t="s">
        <v>52</v>
      </c>
      <c r="C9" s="111"/>
      <c r="D9" s="111" t="s">
        <v>50</v>
      </c>
      <c r="E9" s="111"/>
      <c r="F9" s="111"/>
      <c r="G9" s="111"/>
    </row>
    <row r="10" spans="2:12" x14ac:dyDescent="0.35">
      <c r="B10" s="111" t="s">
        <v>2</v>
      </c>
      <c r="C10" s="111"/>
      <c r="D10" s="111" t="s">
        <v>37</v>
      </c>
      <c r="E10" s="111"/>
      <c r="F10" s="111"/>
      <c r="G10" s="111"/>
    </row>
    <row r="11" spans="2:12" x14ac:dyDescent="0.35">
      <c r="B11" s="111" t="s">
        <v>54</v>
      </c>
      <c r="C11" s="111"/>
      <c r="D11" s="112">
        <v>44348</v>
      </c>
      <c r="E11" s="111"/>
      <c r="F11" s="111"/>
      <c r="G11" s="111"/>
    </row>
    <row r="13" spans="2:12" x14ac:dyDescent="0.35">
      <c r="B13" s="113" t="s">
        <v>55</v>
      </c>
      <c r="C13" s="114"/>
      <c r="D13" s="55" t="s">
        <v>57</v>
      </c>
      <c r="E13" s="55" t="s">
        <v>58</v>
      </c>
      <c r="F13" s="55" t="s">
        <v>59</v>
      </c>
      <c r="G13" s="55" t="s">
        <v>60</v>
      </c>
      <c r="H13" s="55" t="s">
        <v>61</v>
      </c>
      <c r="I13" s="55" t="s">
        <v>62</v>
      </c>
      <c r="J13" s="55" t="s">
        <v>63</v>
      </c>
    </row>
    <row r="14" spans="2:12" x14ac:dyDescent="0.35">
      <c r="B14" s="145" t="s">
        <v>79</v>
      </c>
      <c r="C14" s="146"/>
      <c r="D14" s="50">
        <v>0.25</v>
      </c>
      <c r="E14" s="50">
        <v>0.26</v>
      </c>
      <c r="F14" s="50">
        <v>0.24</v>
      </c>
      <c r="G14" s="50">
        <v>0.25</v>
      </c>
      <c r="H14" s="50">
        <v>0.26</v>
      </c>
      <c r="I14" s="50">
        <v>0.25</v>
      </c>
      <c r="J14" s="62">
        <v>0.25</v>
      </c>
      <c r="K14" s="61"/>
      <c r="L14" s="27"/>
    </row>
    <row r="16" spans="2:12" x14ac:dyDescent="0.35">
      <c r="D16" s="56" t="s">
        <v>64</v>
      </c>
      <c r="E16" t="s">
        <v>80</v>
      </c>
    </row>
    <row r="18" spans="3:9" ht="15" thickBot="1" x14ac:dyDescent="0.4">
      <c r="D18" s="27"/>
    </row>
    <row r="19" spans="3:9" ht="15.5" thickTop="1" thickBot="1" x14ac:dyDescent="0.4">
      <c r="C19" s="115" t="s">
        <v>0</v>
      </c>
      <c r="D19" s="116"/>
      <c r="E19" s="115" t="s">
        <v>67</v>
      </c>
      <c r="F19" s="116"/>
      <c r="G19" s="115" t="s">
        <v>68</v>
      </c>
      <c r="H19" s="117"/>
      <c r="I19" s="57"/>
    </row>
    <row r="20" spans="3:9" ht="15" thickTop="1" x14ac:dyDescent="0.35">
      <c r="C20" s="118">
        <v>0.92500000000000004</v>
      </c>
      <c r="D20" s="119"/>
      <c r="E20" s="118">
        <v>0.92500000000000004</v>
      </c>
      <c r="F20" s="119"/>
      <c r="G20" s="118">
        <v>0.92500000000000004</v>
      </c>
      <c r="H20" s="119"/>
    </row>
    <row r="38" spans="6:8" x14ac:dyDescent="0.35">
      <c r="F38" s="111" t="s">
        <v>72</v>
      </c>
      <c r="G38" s="110"/>
      <c r="H38" s="110"/>
    </row>
    <row r="39" spans="6:8" x14ac:dyDescent="0.35">
      <c r="F39" s="111"/>
      <c r="G39" s="110"/>
      <c r="H39" s="110"/>
    </row>
  </sheetData>
  <mergeCells count="20">
    <mergeCell ref="B14:C14"/>
    <mergeCell ref="B2:C5"/>
    <mergeCell ref="D2:H5"/>
    <mergeCell ref="B8:C8"/>
    <mergeCell ref="D8:G8"/>
    <mergeCell ref="B9:C9"/>
    <mergeCell ref="D9:G9"/>
    <mergeCell ref="B10:C10"/>
    <mergeCell ref="D10:G10"/>
    <mergeCell ref="B11:C11"/>
    <mergeCell ref="D11:G11"/>
    <mergeCell ref="B13:C13"/>
    <mergeCell ref="F38:H38"/>
    <mergeCell ref="F39:H39"/>
    <mergeCell ref="C19:D19"/>
    <mergeCell ref="E19:F19"/>
    <mergeCell ref="G19:H19"/>
    <mergeCell ref="C20:D20"/>
    <mergeCell ref="E20:F20"/>
    <mergeCell ref="G20:H20"/>
  </mergeCells>
  <pageMargins left="0.25" right="1.04" top="0.75" bottom="0.75" header="1" footer="0.3"/>
  <pageSetup scale="95"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L39"/>
  <sheetViews>
    <sheetView workbookViewId="0">
      <selection activeCell="D2" sqref="D2:H5"/>
    </sheetView>
  </sheetViews>
  <sheetFormatPr defaultRowHeight="14.5" x14ac:dyDescent="0.35"/>
  <cols>
    <col min="5" max="5" width="9.1796875" customWidth="1"/>
    <col min="7" max="7" width="8.1796875" customWidth="1"/>
    <col min="8" max="8" width="7.54296875" customWidth="1"/>
    <col min="9" max="9" width="8.81640625" customWidth="1"/>
    <col min="10" max="10" width="13.453125" customWidth="1"/>
  </cols>
  <sheetData>
    <row r="2" spans="2:12" x14ac:dyDescent="0.35">
      <c r="B2" s="129"/>
      <c r="C2" s="130"/>
      <c r="D2" s="120" t="s">
        <v>84</v>
      </c>
      <c r="E2" s="121"/>
      <c r="F2" s="121"/>
      <c r="G2" s="121"/>
      <c r="H2" s="122"/>
      <c r="I2" s="21" t="s">
        <v>43</v>
      </c>
      <c r="J2" s="50" t="s">
        <v>44</v>
      </c>
    </row>
    <row r="3" spans="2:12" x14ac:dyDescent="0.35">
      <c r="B3" s="131"/>
      <c r="C3" s="132"/>
      <c r="D3" s="123"/>
      <c r="E3" s="124"/>
      <c r="F3" s="124"/>
      <c r="G3" s="124"/>
      <c r="H3" s="125"/>
      <c r="I3" s="21" t="s">
        <v>45</v>
      </c>
      <c r="J3" s="50" t="s">
        <v>46</v>
      </c>
    </row>
    <row r="4" spans="2:12" x14ac:dyDescent="0.35">
      <c r="B4" s="131"/>
      <c r="C4" s="132"/>
      <c r="D4" s="123"/>
      <c r="E4" s="124"/>
      <c r="F4" s="124"/>
      <c r="G4" s="124"/>
      <c r="H4" s="125"/>
      <c r="I4" s="21" t="s">
        <v>47</v>
      </c>
      <c r="J4" s="50">
        <v>0</v>
      </c>
    </row>
    <row r="5" spans="2:12" x14ac:dyDescent="0.35">
      <c r="B5" s="133"/>
      <c r="C5" s="134"/>
      <c r="D5" s="126"/>
      <c r="E5" s="127"/>
      <c r="F5" s="127"/>
      <c r="G5" s="127"/>
      <c r="H5" s="128"/>
      <c r="I5" s="21" t="s">
        <v>48</v>
      </c>
      <c r="J5" s="51">
        <v>1</v>
      </c>
    </row>
    <row r="8" spans="2:12" x14ac:dyDescent="0.35">
      <c r="B8" s="135" t="s">
        <v>51</v>
      </c>
      <c r="C8" s="135"/>
      <c r="D8" s="111" t="s">
        <v>78</v>
      </c>
      <c r="E8" s="111"/>
      <c r="F8" s="111"/>
      <c r="G8" s="111"/>
    </row>
    <row r="9" spans="2:12" x14ac:dyDescent="0.35">
      <c r="B9" s="111" t="s">
        <v>52</v>
      </c>
      <c r="C9" s="111"/>
      <c r="D9" s="111" t="s">
        <v>50</v>
      </c>
      <c r="E9" s="111"/>
      <c r="F9" s="111"/>
      <c r="G9" s="111"/>
    </row>
    <row r="10" spans="2:12" x14ac:dyDescent="0.35">
      <c r="B10" s="111" t="s">
        <v>2</v>
      </c>
      <c r="C10" s="111"/>
      <c r="D10" s="111" t="s">
        <v>37</v>
      </c>
      <c r="E10" s="111"/>
      <c r="F10" s="111"/>
      <c r="G10" s="111"/>
    </row>
    <row r="11" spans="2:12" x14ac:dyDescent="0.35">
      <c r="B11" s="111" t="s">
        <v>54</v>
      </c>
      <c r="C11" s="111"/>
      <c r="D11" s="112">
        <v>44866</v>
      </c>
      <c r="E11" s="111"/>
      <c r="F11" s="111"/>
      <c r="G11" s="111"/>
    </row>
    <row r="13" spans="2:12" x14ac:dyDescent="0.35">
      <c r="B13" s="113" t="s">
        <v>55</v>
      </c>
      <c r="C13" s="114"/>
      <c r="D13" s="55" t="s">
        <v>57</v>
      </c>
      <c r="E13" s="55" t="s">
        <v>58</v>
      </c>
      <c r="F13" s="55" t="s">
        <v>59</v>
      </c>
      <c r="G13" s="55" t="s">
        <v>60</v>
      </c>
      <c r="H13" s="55" t="s">
        <v>61</v>
      </c>
      <c r="I13" s="55" t="s">
        <v>62</v>
      </c>
      <c r="J13" s="55" t="s">
        <v>63</v>
      </c>
    </row>
    <row r="14" spans="2:12" x14ac:dyDescent="0.35">
      <c r="B14" s="145" t="s">
        <v>79</v>
      </c>
      <c r="C14" s="146"/>
      <c r="D14" s="50">
        <v>0.3</v>
      </c>
      <c r="E14" s="50">
        <v>0.28999999999999998</v>
      </c>
      <c r="F14" s="50">
        <v>0.3</v>
      </c>
      <c r="G14" s="50">
        <v>0.3</v>
      </c>
      <c r="H14" s="50">
        <v>0.28000000000000003</v>
      </c>
      <c r="I14" s="50">
        <v>0.28999999999999998</v>
      </c>
      <c r="J14" s="62">
        <v>0.3</v>
      </c>
      <c r="K14" s="61"/>
      <c r="L14" s="27"/>
    </row>
    <row r="16" spans="2:12" x14ac:dyDescent="0.35">
      <c r="D16" s="56" t="s">
        <v>64</v>
      </c>
      <c r="E16" t="s">
        <v>81</v>
      </c>
    </row>
    <row r="18" spans="3:9" ht="15" thickBot="1" x14ac:dyDescent="0.4">
      <c r="D18" s="27"/>
    </row>
    <row r="19" spans="3:9" ht="15.5" thickTop="1" thickBot="1" x14ac:dyDescent="0.4">
      <c r="C19" s="115" t="s">
        <v>0</v>
      </c>
      <c r="D19" s="116"/>
      <c r="E19" s="115" t="s">
        <v>67</v>
      </c>
      <c r="F19" s="116"/>
      <c r="G19" s="115" t="s">
        <v>68</v>
      </c>
      <c r="H19" s="117"/>
      <c r="I19" s="57"/>
    </row>
    <row r="20" spans="3:9" ht="15" thickTop="1" x14ac:dyDescent="0.35">
      <c r="C20" s="118">
        <v>0.96599999999999997</v>
      </c>
      <c r="D20" s="119"/>
      <c r="E20" s="118">
        <v>0.96599999999999997</v>
      </c>
      <c r="F20" s="119"/>
      <c r="G20" s="118">
        <v>0.96599999999999997</v>
      </c>
      <c r="H20" s="119"/>
    </row>
    <row r="38" spans="6:8" x14ac:dyDescent="0.35">
      <c r="F38" s="111" t="s">
        <v>72</v>
      </c>
      <c r="G38" s="110"/>
      <c r="H38" s="110"/>
    </row>
    <row r="39" spans="6:8" x14ac:dyDescent="0.35">
      <c r="F39" s="111"/>
      <c r="G39" s="110"/>
      <c r="H39" s="110"/>
    </row>
  </sheetData>
  <mergeCells count="20">
    <mergeCell ref="B14:C14"/>
    <mergeCell ref="B2:C5"/>
    <mergeCell ref="D2:H5"/>
    <mergeCell ref="B8:C8"/>
    <mergeCell ref="D8:G8"/>
    <mergeCell ref="B9:C9"/>
    <mergeCell ref="D9:G9"/>
    <mergeCell ref="B10:C10"/>
    <mergeCell ref="D10:G10"/>
    <mergeCell ref="B11:C11"/>
    <mergeCell ref="D11:G11"/>
    <mergeCell ref="B13:C13"/>
    <mergeCell ref="F38:H38"/>
    <mergeCell ref="F39:H39"/>
    <mergeCell ref="C19:D19"/>
    <mergeCell ref="E19:F19"/>
    <mergeCell ref="G19:H19"/>
    <mergeCell ref="C20:D20"/>
    <mergeCell ref="E20:F20"/>
    <mergeCell ref="G20:H20"/>
  </mergeCells>
  <pageMargins left="0.25" right="1.04" top="0.75" bottom="0.75" header="1" footer="0.3"/>
  <pageSetup scale="95"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2:J39"/>
  <sheetViews>
    <sheetView topLeftCell="A2" workbookViewId="0">
      <selection activeCell="J38" sqref="J37:J38"/>
    </sheetView>
  </sheetViews>
  <sheetFormatPr defaultRowHeight="14.5" x14ac:dyDescent="0.35"/>
  <cols>
    <col min="5" max="5" width="9.1796875" customWidth="1"/>
    <col min="7" max="7" width="8.1796875" customWidth="1"/>
    <col min="8" max="8" width="7.54296875" customWidth="1"/>
    <col min="10" max="10" width="13.453125" customWidth="1"/>
  </cols>
  <sheetData>
    <row r="2" spans="2:10" x14ac:dyDescent="0.35">
      <c r="B2" s="129"/>
      <c r="C2" s="130"/>
      <c r="D2" s="136" t="s">
        <v>84</v>
      </c>
      <c r="E2" s="137"/>
      <c r="F2" s="137"/>
      <c r="G2" s="137"/>
      <c r="H2" s="138"/>
      <c r="I2" s="21" t="s">
        <v>43</v>
      </c>
      <c r="J2" s="50" t="s">
        <v>44</v>
      </c>
    </row>
    <row r="3" spans="2:10" x14ac:dyDescent="0.35">
      <c r="B3" s="131"/>
      <c r="C3" s="132"/>
      <c r="D3" s="139"/>
      <c r="E3" s="140"/>
      <c r="F3" s="140"/>
      <c r="G3" s="140"/>
      <c r="H3" s="141"/>
      <c r="I3" s="21" t="s">
        <v>45</v>
      </c>
      <c r="J3" s="50" t="s">
        <v>46</v>
      </c>
    </row>
    <row r="4" spans="2:10" x14ac:dyDescent="0.35">
      <c r="B4" s="131"/>
      <c r="C4" s="132"/>
      <c r="D4" s="139"/>
      <c r="E4" s="140"/>
      <c r="F4" s="140"/>
      <c r="G4" s="140"/>
      <c r="H4" s="141"/>
      <c r="I4" s="21" t="s">
        <v>47</v>
      </c>
      <c r="J4" s="50">
        <v>0</v>
      </c>
    </row>
    <row r="5" spans="2:10" x14ac:dyDescent="0.35">
      <c r="B5" s="133"/>
      <c r="C5" s="134"/>
      <c r="D5" s="142"/>
      <c r="E5" s="143"/>
      <c r="F5" s="143"/>
      <c r="G5" s="143"/>
      <c r="H5" s="144"/>
      <c r="I5" s="21" t="s">
        <v>48</v>
      </c>
      <c r="J5" s="51">
        <v>1</v>
      </c>
    </row>
    <row r="8" spans="2:10" x14ac:dyDescent="0.35">
      <c r="B8" s="135" t="s">
        <v>51</v>
      </c>
      <c r="C8" s="135"/>
      <c r="D8" s="111" t="s">
        <v>82</v>
      </c>
      <c r="E8" s="111"/>
      <c r="F8" s="111"/>
      <c r="G8" s="111"/>
    </row>
    <row r="9" spans="2:10" x14ac:dyDescent="0.35">
      <c r="B9" s="111" t="s">
        <v>52</v>
      </c>
      <c r="C9" s="111"/>
      <c r="D9" s="111" t="s">
        <v>50</v>
      </c>
      <c r="E9" s="111"/>
      <c r="F9" s="111"/>
      <c r="G9" s="111"/>
    </row>
    <row r="10" spans="2:10" x14ac:dyDescent="0.35">
      <c r="B10" s="111" t="s">
        <v>2</v>
      </c>
      <c r="C10" s="111"/>
      <c r="D10" s="111" t="s">
        <v>83</v>
      </c>
      <c r="E10" s="111"/>
      <c r="F10" s="111"/>
      <c r="G10" s="111"/>
    </row>
    <row r="11" spans="2:10" x14ac:dyDescent="0.35">
      <c r="B11" s="111" t="s">
        <v>54</v>
      </c>
      <c r="C11" s="111"/>
      <c r="D11" s="112">
        <v>44837</v>
      </c>
      <c r="E11" s="111"/>
      <c r="F11" s="111"/>
      <c r="G11" s="111"/>
    </row>
    <row r="13" spans="2:10" x14ac:dyDescent="0.35">
      <c r="B13" s="15"/>
      <c r="C13" s="15"/>
      <c r="D13" s="15"/>
      <c r="E13" s="15"/>
    </row>
    <row r="14" spans="2:10" x14ac:dyDescent="0.35">
      <c r="C14" s="59"/>
      <c r="D14" s="56"/>
      <c r="E14" s="56"/>
      <c r="J14" s="61"/>
    </row>
    <row r="15" spans="2:10" x14ac:dyDescent="0.35">
      <c r="C15" s="52"/>
      <c r="D15" s="27"/>
      <c r="E15" s="60"/>
    </row>
    <row r="16" spans="2:10" x14ac:dyDescent="0.35">
      <c r="C16" s="52"/>
      <c r="E16" s="58"/>
    </row>
    <row r="17" spans="3:5" x14ac:dyDescent="0.35">
      <c r="C17" s="56" t="s">
        <v>71</v>
      </c>
      <c r="D17">
        <v>2021</v>
      </c>
      <c r="E17">
        <v>2022</v>
      </c>
    </row>
    <row r="18" spans="3:5" x14ac:dyDescent="0.35">
      <c r="C18" s="56" t="s">
        <v>70</v>
      </c>
      <c r="D18">
        <v>0.25</v>
      </c>
      <c r="E18">
        <v>0.28999999999999998</v>
      </c>
    </row>
    <row r="19" spans="3:5" x14ac:dyDescent="0.35">
      <c r="C19" s="56" t="s">
        <v>66</v>
      </c>
      <c r="D19" s="58">
        <v>0.92500000000000004</v>
      </c>
      <c r="E19" s="58">
        <v>0.96599999999999997</v>
      </c>
    </row>
    <row r="38" spans="2:9" x14ac:dyDescent="0.35">
      <c r="B38" s="110"/>
      <c r="C38" s="110"/>
      <c r="G38" s="111" t="s">
        <v>72</v>
      </c>
      <c r="H38" s="110"/>
      <c r="I38" s="110"/>
    </row>
    <row r="39" spans="2:9" x14ac:dyDescent="0.35">
      <c r="I39" t="s">
        <v>73</v>
      </c>
    </row>
  </sheetData>
  <mergeCells count="12">
    <mergeCell ref="B2:C5"/>
    <mergeCell ref="D2:H5"/>
    <mergeCell ref="B8:C8"/>
    <mergeCell ref="D8:G8"/>
    <mergeCell ref="B9:C9"/>
    <mergeCell ref="D9:G9"/>
    <mergeCell ref="B10:C10"/>
    <mergeCell ref="D10:G10"/>
    <mergeCell ref="B11:C11"/>
    <mergeCell ref="D11:G11"/>
    <mergeCell ref="B38:C38"/>
    <mergeCell ref="G38:I38"/>
  </mergeCells>
  <pageMargins left="0.7" right="0.7" top="0.75" bottom="0.75" header="0.3" footer="0.3"/>
  <pageSetup scale="97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Sheet2</vt:lpstr>
      <vt:lpstr>Sheet1</vt:lpstr>
      <vt:lpstr>Sheet1 (2)</vt:lpstr>
      <vt:lpstr>Sheet1 (3)</vt:lpstr>
      <vt:lpstr>Accuracy 22</vt:lpstr>
      <vt:lpstr>Sheet3</vt:lpstr>
      <vt:lpstr>Sheet3 (2)</vt:lpstr>
      <vt:lpstr>Sheet3 (3)</vt:lpstr>
      <vt:lpstr>21</vt:lpstr>
      <vt:lpstr>22</vt:lpstr>
      <vt:lpstr>TA ph22</vt:lpstr>
      <vt:lpstr>21 (2)</vt:lpstr>
      <vt:lpstr>21 (3)</vt:lpstr>
      <vt:lpstr>TA22 (F)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786</dc:creator>
  <cp:lastModifiedBy>dell e5440</cp:lastModifiedBy>
  <cp:lastPrinted>2022-03-10T10:38:20Z</cp:lastPrinted>
  <dcterms:created xsi:type="dcterms:W3CDTF">2020-09-16T06:41:33Z</dcterms:created>
  <dcterms:modified xsi:type="dcterms:W3CDTF">2023-07-20T07:32:28Z</dcterms:modified>
</cp:coreProperties>
</file>