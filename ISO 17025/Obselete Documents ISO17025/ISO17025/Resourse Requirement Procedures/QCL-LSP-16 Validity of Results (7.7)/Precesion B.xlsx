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Process Requirement Procedures\QCL-LSP-16 Validity of Results (7.7)\"/>
    </mc:Choice>
  </mc:AlternateContent>
  <xr:revisionPtr revIDLastSave="0" documentId="13_ncr:1_{F60E45C0-23D2-4156-A778-2A9EBB57AC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" l="1"/>
  <c r="D31" i="2" l="1"/>
  <c r="D32" i="2" s="1"/>
</calcChain>
</file>

<file path=xl/sharedStrings.xml><?xml version="1.0" encoding="utf-8"?>
<sst xmlns="http://schemas.openxmlformats.org/spreadsheetml/2006/main" count="36" uniqueCount="36">
  <si>
    <t>Mean</t>
  </si>
  <si>
    <t>Variance</t>
  </si>
  <si>
    <t>Test Title</t>
  </si>
  <si>
    <t>Test Method</t>
  </si>
  <si>
    <t>Method Reference</t>
  </si>
  <si>
    <t>Test Date</t>
  </si>
  <si>
    <t>Sample</t>
  </si>
  <si>
    <t>Equipment</t>
  </si>
  <si>
    <t>Titration Method</t>
  </si>
  <si>
    <t>S #</t>
  </si>
  <si>
    <t>Observations</t>
  </si>
  <si>
    <t xml:space="preserve"> Readings (x)</t>
  </si>
  <si>
    <t>Obs. 1</t>
  </si>
  <si>
    <t>Obs. 2</t>
  </si>
  <si>
    <t>Obs. 3</t>
  </si>
  <si>
    <t>Obs. 4</t>
  </si>
  <si>
    <t>Obs. 5</t>
  </si>
  <si>
    <t>Obs. 6</t>
  </si>
  <si>
    <t>Obs. 7</t>
  </si>
  <si>
    <t>Obs. 8</t>
  </si>
  <si>
    <t>Obs. 9</t>
  </si>
  <si>
    <t>Obs. 10</t>
  </si>
  <si>
    <t>Standard deviation</t>
  </si>
  <si>
    <t xml:space="preserve">                                                         </t>
  </si>
  <si>
    <t xml:space="preserve">                                                       </t>
  </si>
  <si>
    <t>Prepared by QCM</t>
  </si>
  <si>
    <t>Approved by TM</t>
  </si>
  <si>
    <t>Precision Result= 19.54±0.74</t>
  </si>
  <si>
    <t xml:space="preserve">Doc. </t>
  </si>
  <si>
    <t xml:space="preserve">Issued: </t>
  </si>
  <si>
    <t xml:space="preserve">Revision: </t>
  </si>
  <si>
    <t>Lab Code: CL247- -</t>
  </si>
  <si>
    <t>APHA</t>
  </si>
  <si>
    <t>Total  hardness</t>
  </si>
  <si>
    <t>APHA- -3500 B</t>
  </si>
  <si>
    <t>Precision Calculation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</si>
</sst>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Garamond"/>
      <family val="1"/>
    </font>
    <font>
      <b/>
      <sz val="16"/>
      <name val="Garamond"/>
      <family val="1"/>
    </font>
    <font>
      <b/>
      <sz val="12"/>
      <color rgb="FFFF0000"/>
      <name val="Garamond"/>
      <family val="1"/>
    </font>
    <font>
      <sz val="12"/>
      <name val="Garamond"/>
      <family val="1"/>
    </font>
    <font>
      <b/>
      <sz val="12"/>
      <name val="Garamond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Garamond"/>
      <family val="1"/>
    </font>
    <font>
      <u/>
      <sz val="10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5" fillId="0" borderId="0" xfId="1" applyFont="1"/>
    <xf numFmtId="0" fontId="1" fillId="0" borderId="0" xfId="1"/>
    <xf numFmtId="0" fontId="6" fillId="0" borderId="0" xfId="1" applyFont="1" applyAlignment="1">
      <alignment vertic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9" fillId="0" borderId="0" xfId="1" applyFont="1" applyAlignment="1">
      <alignment horizontal="left"/>
    </xf>
    <xf numFmtId="0" fontId="10" fillId="0" borderId="0" xfId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8" fillId="4" borderId="0" xfId="0" applyFont="1" applyFill="1" applyAlignment="1">
      <alignment horizont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10" xfId="1" applyFont="1" applyBorder="1" applyAlignment="1">
      <alignment horizontal="center"/>
    </xf>
    <xf numFmtId="15" fontId="5" fillId="0" borderId="10" xfId="1" applyNumberFormat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40"/>
  <sheetViews>
    <sheetView tabSelected="1" topLeftCell="A22" workbookViewId="0">
      <selection activeCell="C34" sqref="C34:E34"/>
    </sheetView>
  </sheetViews>
  <sheetFormatPr defaultRowHeight="14.4" x14ac:dyDescent="0.3"/>
  <cols>
    <col min="1" max="1" width="9.33203125" bestFit="1" customWidth="1"/>
    <col min="3" max="3" width="11" bestFit="1" customWidth="1"/>
    <col min="4" max="4" width="13.88671875" customWidth="1"/>
    <col min="5" max="5" width="12.44140625" customWidth="1"/>
    <col min="6" max="6" width="13.44140625" customWidth="1"/>
    <col min="7" max="7" width="12.6640625" customWidth="1"/>
  </cols>
  <sheetData>
    <row r="4" spans="1:9" ht="15.6" x14ac:dyDescent="0.3">
      <c r="A4" s="22"/>
      <c r="B4" s="22"/>
      <c r="C4" s="25" t="s">
        <v>35</v>
      </c>
      <c r="D4" s="26"/>
      <c r="E4" s="26"/>
      <c r="F4" s="26"/>
      <c r="G4" s="27"/>
      <c r="H4" s="34" t="s">
        <v>28</v>
      </c>
      <c r="I4" s="35"/>
    </row>
    <row r="5" spans="1:9" ht="15.6" x14ac:dyDescent="0.3">
      <c r="A5" s="23"/>
      <c r="B5" s="23"/>
      <c r="C5" s="28"/>
      <c r="D5" s="29"/>
      <c r="E5" s="29"/>
      <c r="F5" s="29"/>
      <c r="G5" s="30"/>
      <c r="H5" s="35" t="s">
        <v>29</v>
      </c>
      <c r="I5" s="35"/>
    </row>
    <row r="6" spans="1:9" ht="15.6" x14ac:dyDescent="0.3">
      <c r="A6" s="24"/>
      <c r="B6" s="24"/>
      <c r="C6" s="31"/>
      <c r="D6" s="32"/>
      <c r="E6" s="32"/>
      <c r="F6" s="32"/>
      <c r="G6" s="33"/>
      <c r="H6" s="35" t="s">
        <v>30</v>
      </c>
      <c r="I6" s="35"/>
    </row>
    <row r="8" spans="1:9" ht="15.6" x14ac:dyDescent="0.3">
      <c r="A8" s="1"/>
      <c r="B8" s="1"/>
      <c r="C8" s="1"/>
      <c r="D8" s="1"/>
      <c r="E8" s="1"/>
      <c r="F8" s="1"/>
      <c r="G8" s="1"/>
      <c r="H8" s="1"/>
      <c r="I8" s="2"/>
    </row>
    <row r="9" spans="1:9" ht="15.6" x14ac:dyDescent="0.3">
      <c r="A9" s="3" t="s">
        <v>2</v>
      </c>
      <c r="B9" s="3"/>
      <c r="C9" s="21" t="s">
        <v>33</v>
      </c>
      <c r="D9" s="21"/>
      <c r="E9" s="21"/>
      <c r="F9" s="21"/>
      <c r="G9" s="1"/>
      <c r="H9" s="1"/>
      <c r="I9" s="2"/>
    </row>
    <row r="10" spans="1:9" ht="15.6" x14ac:dyDescent="0.3">
      <c r="A10" s="3" t="s">
        <v>3</v>
      </c>
      <c r="B10" s="3"/>
      <c r="C10" s="19" t="s">
        <v>34</v>
      </c>
      <c r="D10" s="20"/>
      <c r="E10" s="20"/>
      <c r="F10" s="20"/>
      <c r="G10" s="4"/>
      <c r="H10" s="4"/>
      <c r="I10" s="2"/>
    </row>
    <row r="11" spans="1:9" ht="15.6" x14ac:dyDescent="0.3">
      <c r="A11" s="3" t="s">
        <v>4</v>
      </c>
      <c r="B11" s="3"/>
      <c r="C11" s="20" t="s">
        <v>32</v>
      </c>
      <c r="D11" s="20"/>
      <c r="E11" s="20"/>
      <c r="F11" s="20"/>
      <c r="G11" s="5"/>
      <c r="H11" s="5"/>
      <c r="I11" s="2"/>
    </row>
    <row r="12" spans="1:9" ht="15.6" x14ac:dyDescent="0.3">
      <c r="A12" s="3" t="s">
        <v>5</v>
      </c>
      <c r="B12" s="3"/>
      <c r="C12" s="42"/>
      <c r="D12" s="42"/>
      <c r="E12" s="42"/>
      <c r="F12" s="42"/>
      <c r="G12" s="1"/>
      <c r="H12" s="1"/>
      <c r="I12" s="2"/>
    </row>
    <row r="13" spans="1:9" ht="15.6" x14ac:dyDescent="0.3">
      <c r="A13" s="3" t="s">
        <v>6</v>
      </c>
      <c r="B13" s="3"/>
      <c r="C13" s="41" t="s">
        <v>31</v>
      </c>
      <c r="D13" s="41"/>
      <c r="E13" s="41"/>
      <c r="F13" s="41"/>
      <c r="G13" s="6"/>
      <c r="H13" s="6"/>
      <c r="I13" s="2"/>
    </row>
    <row r="14" spans="1:9" ht="15.6" x14ac:dyDescent="0.3">
      <c r="A14" s="3" t="s">
        <v>7</v>
      </c>
      <c r="B14" s="3"/>
      <c r="C14" s="41" t="s">
        <v>8</v>
      </c>
      <c r="D14" s="41"/>
      <c r="E14" s="41"/>
      <c r="F14" s="41"/>
      <c r="G14" s="1"/>
      <c r="H14" s="1"/>
      <c r="I14" s="2"/>
    </row>
    <row r="15" spans="1:9" ht="15.6" x14ac:dyDescent="0.3">
      <c r="A15" s="1"/>
      <c r="B15" s="1"/>
      <c r="C15" s="1"/>
      <c r="D15" s="1"/>
      <c r="E15" s="1"/>
      <c r="F15" s="1"/>
      <c r="G15" s="1"/>
      <c r="H15" s="1"/>
      <c r="I15" s="2"/>
    </row>
    <row r="17" spans="1:5" ht="15.6" x14ac:dyDescent="0.3">
      <c r="A17" s="12" t="s">
        <v>9</v>
      </c>
      <c r="B17" s="17" t="s">
        <v>10</v>
      </c>
      <c r="C17" s="18"/>
      <c r="D17" s="12" t="s">
        <v>11</v>
      </c>
    </row>
    <row r="18" spans="1:5" ht="15.6" x14ac:dyDescent="0.3">
      <c r="A18" s="7">
        <v>1</v>
      </c>
      <c r="B18" s="37" t="s">
        <v>12</v>
      </c>
      <c r="C18" s="38"/>
      <c r="D18" s="8">
        <v>46.4</v>
      </c>
    </row>
    <row r="19" spans="1:5" ht="15.6" x14ac:dyDescent="0.3">
      <c r="A19" s="7">
        <v>2</v>
      </c>
      <c r="B19" s="37" t="s">
        <v>13</v>
      </c>
      <c r="C19" s="38"/>
      <c r="D19" s="8">
        <v>48</v>
      </c>
    </row>
    <row r="20" spans="1:5" ht="15.6" x14ac:dyDescent="0.3">
      <c r="A20" s="7">
        <v>3</v>
      </c>
      <c r="B20" s="37" t="s">
        <v>14</v>
      </c>
      <c r="C20" s="38"/>
      <c r="D20" s="8">
        <v>48</v>
      </c>
    </row>
    <row r="21" spans="1:5" ht="15.6" x14ac:dyDescent="0.3">
      <c r="A21" s="7">
        <v>4</v>
      </c>
      <c r="B21" s="37" t="s">
        <v>15</v>
      </c>
      <c r="C21" s="38"/>
      <c r="D21" s="8">
        <v>47.46</v>
      </c>
    </row>
    <row r="22" spans="1:5" ht="15.6" x14ac:dyDescent="0.3">
      <c r="A22" s="7">
        <v>5</v>
      </c>
      <c r="B22" s="37" t="s">
        <v>16</v>
      </c>
      <c r="C22" s="38"/>
      <c r="D22" s="8">
        <v>48.5</v>
      </c>
    </row>
    <row r="23" spans="1:5" ht="15.6" x14ac:dyDescent="0.3">
      <c r="A23" s="7">
        <v>6</v>
      </c>
      <c r="B23" s="37" t="s">
        <v>17</v>
      </c>
      <c r="C23" s="38"/>
      <c r="D23" s="8">
        <v>47.02</v>
      </c>
    </row>
    <row r="24" spans="1:5" ht="15.6" x14ac:dyDescent="0.3">
      <c r="A24" s="7">
        <v>7</v>
      </c>
      <c r="B24" s="37" t="s">
        <v>18</v>
      </c>
      <c r="C24" s="38"/>
      <c r="D24" s="8">
        <v>46.7</v>
      </c>
    </row>
    <row r="25" spans="1:5" ht="15.6" x14ac:dyDescent="0.3">
      <c r="A25" s="7">
        <v>8</v>
      </c>
      <c r="B25" s="37" t="s">
        <v>19</v>
      </c>
      <c r="C25" s="38"/>
      <c r="D25" s="8">
        <v>46.4</v>
      </c>
    </row>
    <row r="26" spans="1:5" ht="15.6" x14ac:dyDescent="0.3">
      <c r="A26" s="7">
        <v>9</v>
      </c>
      <c r="B26" s="37" t="s">
        <v>20</v>
      </c>
      <c r="C26" s="38"/>
      <c r="D26" s="8">
        <v>47.4</v>
      </c>
    </row>
    <row r="27" spans="1:5" ht="15.6" x14ac:dyDescent="0.3">
      <c r="A27" s="7">
        <v>10</v>
      </c>
      <c r="B27" s="37" t="s">
        <v>21</v>
      </c>
      <c r="C27" s="38"/>
      <c r="D27" s="8">
        <v>48.01</v>
      </c>
    </row>
    <row r="28" spans="1:5" ht="15.6" x14ac:dyDescent="0.3">
      <c r="A28" s="9"/>
      <c r="B28" s="10"/>
      <c r="C28" s="10"/>
      <c r="D28" s="11"/>
    </row>
    <row r="30" spans="1:5" ht="15.6" x14ac:dyDescent="0.3">
      <c r="A30" s="43" t="s">
        <v>0</v>
      </c>
      <c r="B30" s="43"/>
      <c r="C30" s="43"/>
      <c r="D30" s="39">
        <f>(D18+D19+D20+D21+D22+D23+D24+D25+D26+D27)/10</f>
        <v>47.388999999999996</v>
      </c>
      <c r="E30" s="39"/>
    </row>
    <row r="31" spans="1:5" ht="15.6" x14ac:dyDescent="0.3">
      <c r="A31" s="44" t="s">
        <v>1</v>
      </c>
      <c r="B31" s="44"/>
      <c r="C31" s="44"/>
      <c r="D31" s="40">
        <f>((D18-D30)^2+(D19-D30)^2+(D20-D30)^2+(D21-D30)^2+(D22-D30)^2+(D23-D30)^2+(D24-D30)^2+(D25-D30)^2+(D26-D30)^2+(D27-D30)^2)/9</f>
        <v>0.54876555555555517</v>
      </c>
      <c r="E31" s="40"/>
    </row>
    <row r="32" spans="1:5" ht="15.6" x14ac:dyDescent="0.3">
      <c r="A32" s="43" t="s">
        <v>22</v>
      </c>
      <c r="B32" s="43"/>
      <c r="C32" s="43"/>
      <c r="D32" s="39">
        <f>SQRT(D31)</f>
        <v>0.7407871189184887</v>
      </c>
      <c r="E32" s="39"/>
    </row>
    <row r="34" spans="1:8" ht="15.6" x14ac:dyDescent="0.3">
      <c r="C34" s="36" t="s">
        <v>27</v>
      </c>
      <c r="D34" s="36"/>
      <c r="E34" s="36"/>
    </row>
    <row r="39" spans="1:8" x14ac:dyDescent="0.3">
      <c r="A39" s="13" t="s">
        <v>23</v>
      </c>
      <c r="B39" s="2"/>
      <c r="C39" s="2"/>
      <c r="D39" s="2"/>
      <c r="E39" s="14"/>
      <c r="F39" s="2"/>
      <c r="G39" s="2"/>
      <c r="H39" s="15" t="s">
        <v>24</v>
      </c>
    </row>
    <row r="40" spans="1:8" ht="15.6" x14ac:dyDescent="0.3">
      <c r="A40" s="1" t="s">
        <v>25</v>
      </c>
      <c r="B40" s="2"/>
      <c r="C40" s="2"/>
      <c r="D40" s="2"/>
      <c r="E40" s="2"/>
      <c r="F40" s="2"/>
      <c r="G40" s="2"/>
      <c r="H40" s="16" t="s">
        <v>26</v>
      </c>
    </row>
  </sheetData>
  <mergeCells count="29">
    <mergeCell ref="A31:C31"/>
    <mergeCell ref="A32:C32"/>
    <mergeCell ref="B18:C18"/>
    <mergeCell ref="B19:C19"/>
    <mergeCell ref="B20:C20"/>
    <mergeCell ref="B21:C21"/>
    <mergeCell ref="B22:C22"/>
    <mergeCell ref="B23:C23"/>
    <mergeCell ref="H4:I4"/>
    <mergeCell ref="H5:I5"/>
    <mergeCell ref="H6:I6"/>
    <mergeCell ref="C34:E34"/>
    <mergeCell ref="B24:C24"/>
    <mergeCell ref="B25:C25"/>
    <mergeCell ref="B26:C26"/>
    <mergeCell ref="B27:C27"/>
    <mergeCell ref="D30:E30"/>
    <mergeCell ref="D31:E31"/>
    <mergeCell ref="D32:E32"/>
    <mergeCell ref="C11:F11"/>
    <mergeCell ref="C13:F13"/>
    <mergeCell ref="C14:F14"/>
    <mergeCell ref="C12:F12"/>
    <mergeCell ref="A30:C30"/>
    <mergeCell ref="B17:C17"/>
    <mergeCell ref="C10:F10"/>
    <mergeCell ref="C9:F9"/>
    <mergeCell ref="A4:B6"/>
    <mergeCell ref="C4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vgreen</cp:lastModifiedBy>
  <dcterms:created xsi:type="dcterms:W3CDTF">2020-09-21T05:45:14Z</dcterms:created>
  <dcterms:modified xsi:type="dcterms:W3CDTF">2024-03-27T06:41:31Z</dcterms:modified>
</cp:coreProperties>
</file>