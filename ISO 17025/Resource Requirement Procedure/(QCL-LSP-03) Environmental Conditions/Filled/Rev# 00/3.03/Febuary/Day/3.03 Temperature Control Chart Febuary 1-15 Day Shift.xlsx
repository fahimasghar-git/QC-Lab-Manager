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3\Febuary\Day\"/>
    </mc:Choice>
  </mc:AlternateContent>
  <xr:revisionPtr revIDLastSave="0" documentId="13_ncr:1_{B9D795FB-E01D-4894-BEE4-DD76D5CD39AE}" xr6:coauthVersionLast="45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9" i="6" l="1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L38" i="6"/>
  <c r="L37" i="6"/>
  <c r="F24" i="6"/>
  <c r="L24" i="6"/>
  <c r="F23" i="6"/>
  <c r="L23" i="6"/>
  <c r="L34" i="6" l="1"/>
  <c r="L35" i="6"/>
  <c r="L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L25" i="6"/>
  <c r="L26" i="6"/>
  <c r="L27" i="6"/>
  <c r="L28" i="6"/>
  <c r="L29" i="6"/>
  <c r="L30" i="6"/>
  <c r="L31" i="6"/>
  <c r="L32" i="6"/>
  <c r="L33" i="6"/>
  <c r="L11" i="6" l="1"/>
  <c r="L12" i="6"/>
  <c r="F12" i="6" l="1"/>
  <c r="F11" i="6"/>
  <c r="J12" i="6" l="1"/>
  <c r="J11" i="6"/>
</calcChain>
</file>

<file path=xl/sharedStrings.xml><?xml version="1.0" encoding="utf-8"?>
<sst xmlns="http://schemas.openxmlformats.org/spreadsheetml/2006/main" count="133" uniqueCount="52">
  <si>
    <t>Name</t>
  </si>
  <si>
    <t>Signature</t>
  </si>
  <si>
    <t>Date</t>
  </si>
  <si>
    <t>CONTROL CHART FORM</t>
  </si>
  <si>
    <t>Measurand:</t>
  </si>
  <si>
    <t>Upper Control Limit:</t>
  </si>
  <si>
    <t>Upper Action Limit: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</si>
  <si>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</si>
  <si>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</si>
  <si>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</si>
  <si>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</si>
  <si>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</si>
  <si>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</si>
  <si>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</si>
  <si>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</si>
  <si>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</si>
  <si>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</si>
  <si>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</si>
  <si>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</si>
  <si>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</si>
  <si>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</si>
  <si>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Wet &amp; Dry Bulb Thermometer</t>
  </si>
  <si>
    <t>Action Taken, if any</t>
  </si>
  <si>
    <t>Time</t>
  </si>
  <si>
    <t>Value No.</t>
  </si>
  <si>
    <r>
      <t>Target Value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</si>
  <si>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Lower Control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</si>
  <si>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27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</si>
  <si>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Lower Action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</si>
  <si>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29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</si>
  <si>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</si>
  <si>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</si>
  <si>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</si>
  <si>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</si>
  <si>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ESP-LAB-WDT-001</t>
  </si>
  <si>
    <t>Main Hall</t>
  </si>
  <si>
    <t>Day</t>
  </si>
  <si>
    <t>Monday</t>
  </si>
  <si>
    <t>Average</t>
  </si>
  <si>
    <t>Maximum Temp.</t>
  </si>
  <si>
    <t>Minimum Temp.</t>
  </si>
  <si>
    <t>Friday</t>
  </si>
  <si>
    <t>Thursday</t>
  </si>
  <si>
    <t>Doc. No.</t>
  </si>
  <si>
    <t>Issue Date</t>
  </si>
  <si>
    <t>Issue#</t>
  </si>
  <si>
    <t>QCL-FRM-3.03</t>
  </si>
  <si>
    <t>Tuesday</t>
  </si>
  <si>
    <t>Wednesday</t>
  </si>
  <si>
    <t>Saturday</t>
  </si>
  <si>
    <t>Sunday</t>
  </si>
  <si>
    <t>Febuary-2024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</si>
</sst>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i/>
      <vertAlign val="superscript"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0" xfId="0" applyFont="1"/>
    <xf numFmtId="0" fontId="2" fillId="0" borderId="3" xfId="0" applyFont="1" applyBorder="1"/>
    <xf numFmtId="0" fontId="1" fillId="0" borderId="0" xfId="0" applyFont="1"/>
    <xf numFmtId="0" fontId="4" fillId="0" borderId="2" xfId="0" applyFont="1" applyBorder="1"/>
    <xf numFmtId="14" fontId="2" fillId="0" borderId="2" xfId="0" applyNumberFormat="1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49" fontId="2" fillId="0" borderId="4" xfId="0" quotePrefix="1" applyNumberFormat="1" applyFont="1" applyBorder="1" applyAlignment="1">
      <alignment horizontal="left"/>
    </xf>
    <xf numFmtId="0" fontId="4" fillId="0" borderId="1" xfId="0" applyFont="1" applyBorder="1"/>
    <xf numFmtId="165" fontId="2" fillId="0" borderId="4" xfId="0" applyNumberFormat="1" applyFont="1" applyBorder="1" applyAlignment="1">
      <alignment horizontal="left"/>
    </xf>
    <xf numFmtId="166" fontId="2" fillId="0" borderId="2" xfId="0" applyNumberFormat="1" applyFont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0" fontId="2" fillId="0" borderId="5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0" xfId="0" applyNumberFormat="1" applyFont="1"/>
    <xf numFmtId="0" fontId="8" fillId="0" borderId="8" xfId="0" applyFont="1" applyBorder="1"/>
    <xf numFmtId="0" fontId="9" fillId="0" borderId="3" xfId="0" applyFont="1" applyBorder="1" applyAlignment="1">
      <alignment horizontal="left" vertical="center"/>
    </xf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9" xfId="0" applyFont="1" applyBorder="1" applyAlignment="1">
      <alignment vertical="center" wrapText="1"/>
    </xf>
    <xf numFmtId="0" fontId="11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vertical="center" wrapText="1"/>
    </xf>
    <xf numFmtId="14" fontId="10" fillId="0" borderId="12" xfId="0" applyNumberFormat="1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 applyAlignment="1">
      <alignment horizontal="left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16689106019575717"/>
          <c:w val="0.89745533277200518"/>
          <c:h val="0.61833947171513703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Hall-Sep-1'!$K$11:$K$38</c:f>
              <c:numCache>
                <c:formatCode>0.0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Hall-Sep-1'!$L$11:$L$38</c:f>
              <c:numCache>
                <c:formatCode>0.0</c:formatCode>
                <c:ptCount val="28"/>
                <c:pt idx="0">
                  <c:v>24.2</c:v>
                </c:pt>
                <c:pt idx="1">
                  <c:v>24.5</c:v>
                </c:pt>
                <c:pt idx="2">
                  <c:v>23.8</c:v>
                </c:pt>
                <c:pt idx="3">
                  <c:v>24.1</c:v>
                </c:pt>
                <c:pt idx="4">
                  <c:v>24.1</c:v>
                </c:pt>
                <c:pt idx="5">
                  <c:v>24.6</c:v>
                </c:pt>
                <c:pt idx="6">
                  <c:v>23.6</c:v>
                </c:pt>
                <c:pt idx="7">
                  <c:v>24.1</c:v>
                </c:pt>
                <c:pt idx="8">
                  <c:v>23.1</c:v>
                </c:pt>
                <c:pt idx="9">
                  <c:v>23.8</c:v>
                </c:pt>
                <c:pt idx="10">
                  <c:v>24.1</c:v>
                </c:pt>
                <c:pt idx="11">
                  <c:v>24.7</c:v>
                </c:pt>
                <c:pt idx="12">
                  <c:v>23.9</c:v>
                </c:pt>
                <c:pt idx="13">
                  <c:v>24.4</c:v>
                </c:pt>
                <c:pt idx="14">
                  <c:v>24.2</c:v>
                </c:pt>
                <c:pt idx="15">
                  <c:v>24.8</c:v>
                </c:pt>
                <c:pt idx="16">
                  <c:v>23.7</c:v>
                </c:pt>
                <c:pt idx="17">
                  <c:v>24.1</c:v>
                </c:pt>
                <c:pt idx="18">
                  <c:v>23.2</c:v>
                </c:pt>
                <c:pt idx="19">
                  <c:v>23.5</c:v>
                </c:pt>
                <c:pt idx="20">
                  <c:v>24.3</c:v>
                </c:pt>
                <c:pt idx="21">
                  <c:v>25.2</c:v>
                </c:pt>
                <c:pt idx="22">
                  <c:v>24.6</c:v>
                </c:pt>
                <c:pt idx="23">
                  <c:v>25.4</c:v>
                </c:pt>
                <c:pt idx="24">
                  <c:v>23.1</c:v>
                </c:pt>
                <c:pt idx="25">
                  <c:v>23.6</c:v>
                </c:pt>
                <c:pt idx="26">
                  <c:v>23.7</c:v>
                </c:pt>
                <c:pt idx="27">
                  <c:v>24.2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Hall-Sep-1'!$M$11:$M$38</c:f>
              <c:numCache>
                <c:formatCode>0.0</c:formatCode>
                <c:ptCount val="28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Hall-Sep-1'!$N$11:$N$38</c:f>
              <c:numCache>
                <c:formatCode>0.0</c:formatCode>
                <c:ptCount val="28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Hall-Sep-1'!$O$11:$O$38</c:f>
              <c:numCache>
                <c:formatCode>0.0</c:formatCode>
                <c:ptCount val="28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Hall-Sep-1'!$P$11:$P$38</c:f>
              <c:numCache>
                <c:formatCode>0.0</c:formatCode>
                <c:ptCount val="28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3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1019175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2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843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tabSelected="1" view="pageBreakPreview" topLeftCell="A36" zoomScaleNormal="100" zoomScaleSheetLayoutView="100" workbookViewId="0">
      <selection activeCell="A39" sqref="A39:A42"/>
    </sheetView>
  </sheetViews>
  <sheetFormatPr defaultColWidth="9.1796875" defaultRowHeight="16" x14ac:dyDescent="0.45"/>
  <cols>
    <col min="1" max="2" width="15.81640625" style="3" customWidth="1"/>
    <col min="3" max="3" width="15.54296875" style="3" customWidth="1"/>
    <col min="4" max="4" width="16.453125" style="3" customWidth="1"/>
    <col min="5" max="6" width="17.1796875" style="3" customWidth="1"/>
    <col min="7" max="7" width="19.54296875" style="3" customWidth="1"/>
    <col min="8" max="8" width="15.453125" style="3" customWidth="1"/>
    <col min="9" max="9" width="16.1796875" style="3" customWidth="1"/>
    <col min="10" max="16384" width="9.1796875" style="3"/>
  </cols>
  <sheetData>
    <row r="1" spans="1:16" customFormat="1" ht="16.5" customHeight="1" thickTop="1" thickBot="1" x14ac:dyDescent="0.5">
      <c r="A1" s="30"/>
      <c r="B1" s="31"/>
      <c r="C1" s="31"/>
      <c r="D1" s="49" t="s">
        <v>3</v>
      </c>
      <c r="E1" s="49"/>
      <c r="F1" s="50"/>
      <c r="G1" s="35" t="s">
        <v>43</v>
      </c>
      <c r="H1" s="36" t="s">
        <v>46</v>
      </c>
    </row>
    <row r="2" spans="1:16" customFormat="1" ht="16.5" customHeight="1" thickTop="1" thickBot="1" x14ac:dyDescent="0.5">
      <c r="A2" s="40"/>
      <c r="B2" s="41"/>
      <c r="C2" s="41"/>
      <c r="D2" s="51"/>
      <c r="E2" s="51"/>
      <c r="F2" s="52"/>
      <c r="G2" s="37" t="s">
        <v>44</v>
      </c>
      <c r="H2" s="38">
        <v>45174</v>
      </c>
    </row>
    <row r="3" spans="1:16" ht="13" customHeight="1" thickTop="1" thickBot="1" x14ac:dyDescent="0.5">
      <c r="B3" s="5"/>
      <c r="C3" s="5"/>
      <c r="G3" s="37" t="s">
        <v>45</v>
      </c>
      <c r="H3" s="39">
        <v>1</v>
      </c>
    </row>
    <row r="4" spans="1:16" ht="16.5" customHeight="1" thickTop="1" x14ac:dyDescent="0.45">
      <c r="A4" s="6" t="s">
        <v>4</v>
      </c>
      <c r="B4" s="2"/>
      <c r="C4" s="4"/>
      <c r="D4" s="4"/>
      <c r="E4" s="2"/>
      <c r="F4" s="6" t="s">
        <v>19</v>
      </c>
      <c r="G4" s="7" t="s">
        <v>51</v>
      </c>
      <c r="H4" s="8"/>
    </row>
    <row r="5" spans="1:16" ht="17" customHeight="1" x14ac:dyDescent="0.45">
      <c r="A5" s="6" t="s">
        <v>17</v>
      </c>
      <c r="B5" s="2"/>
      <c r="C5" s="4"/>
      <c r="D5" s="4" t="s">
        <v>35</v>
      </c>
      <c r="E5" s="10"/>
      <c r="F5" s="11" t="s">
        <v>18</v>
      </c>
      <c r="G5" s="9" t="s">
        <v>21</v>
      </c>
      <c r="H5" s="8"/>
    </row>
    <row r="6" spans="1:16" ht="14.5" customHeight="1" x14ac:dyDescent="0.45">
      <c r="A6" s="6" t="s">
        <v>25</v>
      </c>
      <c r="B6" s="2"/>
      <c r="C6" s="4"/>
      <c r="D6" s="26">
        <v>25</v>
      </c>
      <c r="E6" s="12"/>
      <c r="F6" s="11" t="s">
        <v>20</v>
      </c>
      <c r="G6" s="13" t="s">
        <v>34</v>
      </c>
      <c r="H6" s="12"/>
    </row>
    <row r="7" spans="1:16" ht="16.5" x14ac:dyDescent="0.45">
      <c r="A7" s="6" t="s">
        <v>26</v>
      </c>
      <c r="B7" s="2"/>
      <c r="C7" s="4"/>
      <c r="D7" s="26">
        <v>23</v>
      </c>
      <c r="E7" s="14"/>
      <c r="F7" s="11" t="s">
        <v>5</v>
      </c>
      <c r="G7" s="13" t="s">
        <v>27</v>
      </c>
      <c r="H7" s="14"/>
    </row>
    <row r="8" spans="1:16" ht="16.5" x14ac:dyDescent="0.45">
      <c r="A8" s="6" t="s">
        <v>28</v>
      </c>
      <c r="B8" s="2"/>
      <c r="C8" s="4"/>
      <c r="D8" s="26">
        <v>21</v>
      </c>
      <c r="E8" s="14"/>
      <c r="F8" s="11" t="s">
        <v>6</v>
      </c>
      <c r="G8" s="13" t="s">
        <v>29</v>
      </c>
      <c r="H8" s="14"/>
    </row>
    <row r="9" spans="1:16" ht="339.75" customHeight="1" x14ac:dyDescent="0.45">
      <c r="D9" s="15"/>
      <c r="F9" s="15"/>
    </row>
    <row r="10" spans="1:16" ht="46.5" customHeight="1" x14ac:dyDescent="0.45">
      <c r="A10" s="1" t="s">
        <v>24</v>
      </c>
      <c r="B10" s="1" t="s">
        <v>2</v>
      </c>
      <c r="C10" s="1" t="s">
        <v>36</v>
      </c>
      <c r="D10" s="1" t="s">
        <v>23</v>
      </c>
      <c r="E10" s="1" t="s">
        <v>30</v>
      </c>
      <c r="F10" s="1" t="s">
        <v>31</v>
      </c>
      <c r="G10" s="1" t="s">
        <v>7</v>
      </c>
      <c r="H10" s="1" t="s">
        <v>22</v>
      </c>
      <c r="J10" s="23" t="s">
        <v>14</v>
      </c>
      <c r="K10" s="24" t="s">
        <v>32</v>
      </c>
      <c r="L10" s="24" t="s">
        <v>33</v>
      </c>
      <c r="M10" s="24" t="s">
        <v>10</v>
      </c>
      <c r="N10" s="24" t="s">
        <v>11</v>
      </c>
      <c r="O10" s="24" t="s">
        <v>12</v>
      </c>
      <c r="P10" s="24" t="s">
        <v>13</v>
      </c>
    </row>
    <row r="11" spans="1:16" ht="20.149999999999999" customHeight="1" x14ac:dyDescent="0.45">
      <c r="A11" s="20">
        <v>1</v>
      </c>
      <c r="B11" s="19">
        <v>45323</v>
      </c>
      <c r="C11" s="19" t="s">
        <v>42</v>
      </c>
      <c r="D11" s="42">
        <v>0.45833333333333331</v>
      </c>
      <c r="E11" s="21">
        <v>24.2</v>
      </c>
      <c r="F11" s="21">
        <f t="shared" ref="F11:F21" si="0">E11-$D$6</f>
        <v>-0.80000000000000071</v>
      </c>
      <c r="G11" s="25" t="s">
        <v>8</v>
      </c>
      <c r="H11" s="22" t="s">
        <v>16</v>
      </c>
      <c r="J11" s="3">
        <f t="shared" ref="J11:J38" si="1">A11</f>
        <v>1</v>
      </c>
      <c r="K11" s="29">
        <v>25</v>
      </c>
      <c r="L11" s="29">
        <f>E11</f>
        <v>24.2</v>
      </c>
      <c r="M11" s="29">
        <v>23</v>
      </c>
      <c r="N11" s="29">
        <v>27</v>
      </c>
      <c r="O11" s="29">
        <v>21</v>
      </c>
      <c r="P11" s="29">
        <v>29</v>
      </c>
    </row>
    <row r="12" spans="1:16" ht="20.149999999999999" customHeight="1" x14ac:dyDescent="0.45">
      <c r="A12" s="20">
        <v>2</v>
      </c>
      <c r="B12" s="19">
        <v>45323</v>
      </c>
      <c r="C12" s="19" t="s">
        <v>42</v>
      </c>
      <c r="D12" s="42">
        <v>0.625</v>
      </c>
      <c r="E12" s="21">
        <v>24.5</v>
      </c>
      <c r="F12" s="21">
        <f t="shared" si="0"/>
        <v>-0.5</v>
      </c>
      <c r="G12" s="25" t="s">
        <v>8</v>
      </c>
      <c r="H12" s="22" t="s">
        <v>16</v>
      </c>
      <c r="J12" s="3">
        <f t="shared" si="1"/>
        <v>2</v>
      </c>
      <c r="K12" s="29">
        <v>25</v>
      </c>
      <c r="L12" s="29">
        <f t="shared" ref="L12:L33" si="2">E12</f>
        <v>24.5</v>
      </c>
      <c r="M12" s="29">
        <v>23</v>
      </c>
      <c r="N12" s="29">
        <v>27</v>
      </c>
      <c r="O12" s="29">
        <v>21</v>
      </c>
      <c r="P12" s="29">
        <v>29</v>
      </c>
    </row>
    <row r="13" spans="1:16" ht="20.149999999999999" customHeight="1" x14ac:dyDescent="0.45">
      <c r="A13" s="20">
        <v>3</v>
      </c>
      <c r="B13" s="19">
        <v>45324</v>
      </c>
      <c r="C13" s="19" t="s">
        <v>41</v>
      </c>
      <c r="D13" s="42">
        <v>0.45833333333333331</v>
      </c>
      <c r="E13" s="21">
        <v>23.8</v>
      </c>
      <c r="F13" s="21">
        <f t="shared" si="0"/>
        <v>-1.1999999999999993</v>
      </c>
      <c r="G13" s="25" t="s">
        <v>8</v>
      </c>
      <c r="H13" s="22" t="s">
        <v>16</v>
      </c>
      <c r="J13" s="3">
        <f t="shared" si="1"/>
        <v>3</v>
      </c>
      <c r="K13" s="29">
        <v>25</v>
      </c>
      <c r="L13" s="29">
        <f t="shared" si="2"/>
        <v>23.8</v>
      </c>
      <c r="M13" s="29">
        <v>23</v>
      </c>
      <c r="N13" s="29">
        <v>27</v>
      </c>
      <c r="O13" s="29">
        <v>21</v>
      </c>
      <c r="P13" s="29">
        <v>29</v>
      </c>
    </row>
    <row r="14" spans="1:16" ht="20.149999999999999" customHeight="1" x14ac:dyDescent="0.45">
      <c r="A14" s="20">
        <v>4</v>
      </c>
      <c r="B14" s="19">
        <v>45324</v>
      </c>
      <c r="C14" s="19" t="s">
        <v>41</v>
      </c>
      <c r="D14" s="42">
        <v>0.625</v>
      </c>
      <c r="E14" s="21">
        <v>24.1</v>
      </c>
      <c r="F14" s="21">
        <f t="shared" si="0"/>
        <v>-0.89999999999999858</v>
      </c>
      <c r="G14" s="25" t="s">
        <v>8</v>
      </c>
      <c r="H14" s="22" t="s">
        <v>16</v>
      </c>
      <c r="J14" s="3">
        <f t="shared" si="1"/>
        <v>4</v>
      </c>
      <c r="K14" s="29">
        <v>25</v>
      </c>
      <c r="L14" s="29">
        <f t="shared" si="2"/>
        <v>24.1</v>
      </c>
      <c r="M14" s="29">
        <v>23</v>
      </c>
      <c r="N14" s="29">
        <v>27</v>
      </c>
      <c r="O14" s="29">
        <v>21</v>
      </c>
      <c r="P14" s="29">
        <v>29</v>
      </c>
    </row>
    <row r="15" spans="1:16" ht="20.149999999999999" customHeight="1" x14ac:dyDescent="0.45">
      <c r="A15" s="20">
        <v>5</v>
      </c>
      <c r="B15" s="19">
        <v>45325</v>
      </c>
      <c r="C15" s="19" t="s">
        <v>49</v>
      </c>
      <c r="D15" s="42">
        <v>0.45833333333333331</v>
      </c>
      <c r="E15" s="21">
        <v>24.1</v>
      </c>
      <c r="F15" s="21">
        <f t="shared" si="0"/>
        <v>-0.89999999999999858</v>
      </c>
      <c r="G15" s="25" t="s">
        <v>8</v>
      </c>
      <c r="H15" s="22" t="s">
        <v>16</v>
      </c>
      <c r="J15" s="3">
        <f t="shared" si="1"/>
        <v>5</v>
      </c>
      <c r="K15" s="29">
        <v>25</v>
      </c>
      <c r="L15" s="29">
        <f t="shared" si="2"/>
        <v>24.1</v>
      </c>
      <c r="M15" s="29">
        <v>23</v>
      </c>
      <c r="N15" s="29">
        <v>27</v>
      </c>
      <c r="O15" s="29">
        <v>21</v>
      </c>
      <c r="P15" s="29">
        <v>29</v>
      </c>
    </row>
    <row r="16" spans="1:16" ht="20.149999999999999" customHeight="1" x14ac:dyDescent="0.45">
      <c r="A16" s="20">
        <v>6</v>
      </c>
      <c r="B16" s="19">
        <v>45325</v>
      </c>
      <c r="C16" s="19" t="s">
        <v>49</v>
      </c>
      <c r="D16" s="42">
        <v>0.625</v>
      </c>
      <c r="E16" s="21">
        <v>24.6</v>
      </c>
      <c r="F16" s="21">
        <f t="shared" si="0"/>
        <v>-0.39999999999999858</v>
      </c>
      <c r="G16" s="25" t="s">
        <v>8</v>
      </c>
      <c r="H16" s="22" t="s">
        <v>16</v>
      </c>
      <c r="J16" s="3">
        <f t="shared" si="1"/>
        <v>6</v>
      </c>
      <c r="K16" s="29">
        <v>25</v>
      </c>
      <c r="L16" s="29">
        <f t="shared" si="2"/>
        <v>24.6</v>
      </c>
      <c r="M16" s="29">
        <v>23</v>
      </c>
      <c r="N16" s="29">
        <v>27</v>
      </c>
      <c r="O16" s="29">
        <v>21</v>
      </c>
      <c r="P16" s="29">
        <v>29</v>
      </c>
    </row>
    <row r="17" spans="1:16" ht="20.149999999999999" customHeight="1" x14ac:dyDescent="0.45">
      <c r="A17" s="20">
        <v>7</v>
      </c>
      <c r="B17" s="19">
        <v>45326</v>
      </c>
      <c r="C17" s="19" t="s">
        <v>50</v>
      </c>
      <c r="D17" s="42">
        <v>0.45833333333333331</v>
      </c>
      <c r="E17" s="21">
        <v>23.6</v>
      </c>
      <c r="F17" s="21">
        <f t="shared" si="0"/>
        <v>-1.3999999999999986</v>
      </c>
      <c r="G17" s="25" t="s">
        <v>8</v>
      </c>
      <c r="H17" s="22" t="s">
        <v>16</v>
      </c>
      <c r="J17" s="3">
        <f t="shared" si="1"/>
        <v>7</v>
      </c>
      <c r="K17" s="29">
        <v>25</v>
      </c>
      <c r="L17" s="29">
        <f t="shared" si="2"/>
        <v>23.6</v>
      </c>
      <c r="M17" s="29">
        <v>23</v>
      </c>
      <c r="N17" s="29">
        <v>27</v>
      </c>
      <c r="O17" s="29">
        <v>21</v>
      </c>
      <c r="P17" s="29">
        <v>29</v>
      </c>
    </row>
    <row r="18" spans="1:16" ht="20.149999999999999" customHeight="1" x14ac:dyDescent="0.45">
      <c r="A18" s="20">
        <v>8</v>
      </c>
      <c r="B18" s="19">
        <v>45326</v>
      </c>
      <c r="C18" s="19" t="s">
        <v>50</v>
      </c>
      <c r="D18" s="42">
        <v>0.625</v>
      </c>
      <c r="E18" s="21">
        <v>24.1</v>
      </c>
      <c r="F18" s="21">
        <f t="shared" si="0"/>
        <v>-0.89999999999999858</v>
      </c>
      <c r="G18" s="25" t="s">
        <v>8</v>
      </c>
      <c r="H18" s="22" t="s">
        <v>16</v>
      </c>
      <c r="J18" s="3">
        <f t="shared" si="1"/>
        <v>8</v>
      </c>
      <c r="K18" s="29">
        <v>25</v>
      </c>
      <c r="L18" s="29">
        <f t="shared" si="2"/>
        <v>24.1</v>
      </c>
      <c r="M18" s="29">
        <v>23</v>
      </c>
      <c r="N18" s="29">
        <v>27</v>
      </c>
      <c r="O18" s="29">
        <v>21</v>
      </c>
      <c r="P18" s="29">
        <v>29</v>
      </c>
    </row>
    <row r="19" spans="1:16" ht="20.149999999999999" customHeight="1" x14ac:dyDescent="0.45">
      <c r="A19" s="20">
        <v>9</v>
      </c>
      <c r="B19" s="19">
        <v>45327</v>
      </c>
      <c r="C19" s="19" t="s">
        <v>37</v>
      </c>
      <c r="D19" s="42">
        <v>0.45833333333333331</v>
      </c>
      <c r="E19" s="21">
        <v>23.1</v>
      </c>
      <c r="F19" s="21">
        <f t="shared" si="0"/>
        <v>-1.8999999999999986</v>
      </c>
      <c r="G19" s="25" t="s">
        <v>8</v>
      </c>
      <c r="H19" s="22" t="s">
        <v>16</v>
      </c>
      <c r="J19" s="3">
        <f t="shared" si="1"/>
        <v>9</v>
      </c>
      <c r="K19" s="29">
        <v>25</v>
      </c>
      <c r="L19" s="29">
        <f t="shared" si="2"/>
        <v>23.1</v>
      </c>
      <c r="M19" s="29">
        <v>23</v>
      </c>
      <c r="N19" s="29">
        <v>27</v>
      </c>
      <c r="O19" s="29">
        <v>21</v>
      </c>
      <c r="P19" s="29">
        <v>29</v>
      </c>
    </row>
    <row r="20" spans="1:16" ht="20.149999999999999" customHeight="1" x14ac:dyDescent="0.45">
      <c r="A20" s="20">
        <v>10</v>
      </c>
      <c r="B20" s="19">
        <v>45327</v>
      </c>
      <c r="C20" s="19" t="s">
        <v>37</v>
      </c>
      <c r="D20" s="42">
        <v>0.625</v>
      </c>
      <c r="E20" s="21">
        <v>23.8</v>
      </c>
      <c r="F20" s="21">
        <f t="shared" si="0"/>
        <v>-1.1999999999999993</v>
      </c>
      <c r="G20" s="25" t="s">
        <v>8</v>
      </c>
      <c r="H20" s="22" t="s">
        <v>16</v>
      </c>
      <c r="J20" s="3">
        <f t="shared" si="1"/>
        <v>10</v>
      </c>
      <c r="K20" s="29">
        <v>25</v>
      </c>
      <c r="L20" s="29">
        <f t="shared" si="2"/>
        <v>23.8</v>
      </c>
      <c r="M20" s="29">
        <v>23</v>
      </c>
      <c r="N20" s="29">
        <v>27</v>
      </c>
      <c r="O20" s="29">
        <v>21</v>
      </c>
      <c r="P20" s="29">
        <v>29</v>
      </c>
    </row>
    <row r="21" spans="1:16" ht="19.5" customHeight="1" x14ac:dyDescent="0.45">
      <c r="A21" s="20">
        <v>11</v>
      </c>
      <c r="B21" s="19">
        <v>45328</v>
      </c>
      <c r="C21" s="19" t="s">
        <v>47</v>
      </c>
      <c r="D21" s="42">
        <v>0.45833333333333331</v>
      </c>
      <c r="E21" s="21">
        <v>24.1</v>
      </c>
      <c r="F21" s="21">
        <f t="shared" si="0"/>
        <v>-0.89999999999999858</v>
      </c>
      <c r="G21" s="25" t="s">
        <v>8</v>
      </c>
      <c r="H21" s="22" t="s">
        <v>16</v>
      </c>
      <c r="J21" s="3">
        <f t="shared" si="1"/>
        <v>11</v>
      </c>
      <c r="K21" s="29">
        <v>25</v>
      </c>
      <c r="L21" s="29">
        <f t="shared" si="2"/>
        <v>24.1</v>
      </c>
      <c r="M21" s="29">
        <v>23</v>
      </c>
      <c r="N21" s="29">
        <v>27</v>
      </c>
      <c r="O21" s="29">
        <v>21</v>
      </c>
      <c r="P21" s="29">
        <v>29</v>
      </c>
    </row>
    <row r="22" spans="1:16" ht="20.25" customHeight="1" x14ac:dyDescent="0.45">
      <c r="A22" s="20">
        <v>12</v>
      </c>
      <c r="B22" s="19">
        <v>45328</v>
      </c>
      <c r="C22" s="19" t="s">
        <v>47</v>
      </c>
      <c r="D22" s="42">
        <v>0.625</v>
      </c>
      <c r="E22" s="21">
        <v>24.7</v>
      </c>
      <c r="F22" s="21">
        <f>E22-$D$6</f>
        <v>-0.30000000000000071</v>
      </c>
      <c r="G22" s="25" t="s">
        <v>8</v>
      </c>
      <c r="H22" s="22" t="s">
        <v>16</v>
      </c>
      <c r="J22" s="3">
        <f t="shared" si="1"/>
        <v>12</v>
      </c>
      <c r="K22" s="29">
        <v>25</v>
      </c>
      <c r="L22" s="29">
        <f t="shared" si="2"/>
        <v>24.7</v>
      </c>
      <c r="M22" s="29">
        <v>23</v>
      </c>
      <c r="N22" s="29">
        <v>27</v>
      </c>
      <c r="O22" s="29">
        <v>21</v>
      </c>
      <c r="P22" s="29">
        <v>29</v>
      </c>
    </row>
    <row r="23" spans="1:16" ht="20.25" customHeight="1" x14ac:dyDescent="0.45">
      <c r="A23" s="20">
        <v>13</v>
      </c>
      <c r="B23" s="19">
        <v>45329</v>
      </c>
      <c r="C23" s="19" t="s">
        <v>48</v>
      </c>
      <c r="D23" s="42">
        <v>0.45833333333333331</v>
      </c>
      <c r="E23" s="21">
        <v>23.9</v>
      </c>
      <c r="F23" s="21">
        <f>E23-$D$6</f>
        <v>-1.1000000000000014</v>
      </c>
      <c r="G23" s="25" t="s">
        <v>8</v>
      </c>
      <c r="H23" s="22" t="s">
        <v>16</v>
      </c>
      <c r="J23" s="3">
        <f t="shared" si="1"/>
        <v>13</v>
      </c>
      <c r="K23" s="29">
        <v>25</v>
      </c>
      <c r="L23" s="29">
        <f t="shared" si="2"/>
        <v>23.9</v>
      </c>
      <c r="M23" s="29">
        <v>23</v>
      </c>
      <c r="N23" s="29">
        <v>27</v>
      </c>
      <c r="O23" s="29">
        <v>21</v>
      </c>
      <c r="P23" s="29">
        <v>29</v>
      </c>
    </row>
    <row r="24" spans="1:16" ht="20.25" customHeight="1" x14ac:dyDescent="0.45">
      <c r="A24" s="20">
        <v>14</v>
      </c>
      <c r="B24" s="19">
        <v>45329</v>
      </c>
      <c r="C24" s="19" t="s">
        <v>48</v>
      </c>
      <c r="D24" s="42">
        <v>0.625</v>
      </c>
      <c r="E24" s="21">
        <v>24.4</v>
      </c>
      <c r="F24" s="21">
        <f>E24-$D$6</f>
        <v>-0.60000000000000142</v>
      </c>
      <c r="G24" s="25" t="s">
        <v>8</v>
      </c>
      <c r="H24" s="22" t="s">
        <v>16</v>
      </c>
      <c r="J24" s="3">
        <f t="shared" si="1"/>
        <v>14</v>
      </c>
      <c r="K24" s="29">
        <v>25</v>
      </c>
      <c r="L24" s="29">
        <f t="shared" si="2"/>
        <v>24.4</v>
      </c>
      <c r="M24" s="29">
        <v>23</v>
      </c>
      <c r="N24" s="29">
        <v>27</v>
      </c>
      <c r="O24" s="29">
        <v>21</v>
      </c>
      <c r="P24" s="29">
        <v>29</v>
      </c>
    </row>
    <row r="25" spans="1:16" ht="20.149999999999999" customHeight="1" x14ac:dyDescent="0.45">
      <c r="A25" s="20">
        <v>15</v>
      </c>
      <c r="B25" s="19">
        <v>45331</v>
      </c>
      <c r="C25" s="19" t="s">
        <v>41</v>
      </c>
      <c r="D25" s="42">
        <v>0.45833333333333331</v>
      </c>
      <c r="E25" s="21">
        <v>24.2</v>
      </c>
      <c r="F25" s="21">
        <f t="shared" ref="F25:F38" si="3">E25-$D$6</f>
        <v>-0.80000000000000071</v>
      </c>
      <c r="G25" s="25" t="s">
        <v>8</v>
      </c>
      <c r="H25" s="22" t="s">
        <v>16</v>
      </c>
      <c r="J25" s="3">
        <f t="shared" si="1"/>
        <v>15</v>
      </c>
      <c r="K25" s="29">
        <v>25</v>
      </c>
      <c r="L25" s="29">
        <f t="shared" si="2"/>
        <v>24.2</v>
      </c>
      <c r="M25" s="29">
        <v>23</v>
      </c>
      <c r="N25" s="29">
        <v>27</v>
      </c>
      <c r="O25" s="29">
        <v>21</v>
      </c>
      <c r="P25" s="29">
        <v>29</v>
      </c>
    </row>
    <row r="26" spans="1:16" ht="20.149999999999999" customHeight="1" x14ac:dyDescent="0.45">
      <c r="A26" s="20">
        <v>16</v>
      </c>
      <c r="B26" s="19">
        <v>45331</v>
      </c>
      <c r="C26" s="19" t="s">
        <v>41</v>
      </c>
      <c r="D26" s="42">
        <v>0.625</v>
      </c>
      <c r="E26" s="21">
        <v>24.8</v>
      </c>
      <c r="F26" s="21">
        <f t="shared" si="3"/>
        <v>-0.19999999999999929</v>
      </c>
      <c r="G26" s="25" t="s">
        <v>8</v>
      </c>
      <c r="H26" s="22" t="s">
        <v>16</v>
      </c>
      <c r="J26" s="3">
        <f t="shared" si="1"/>
        <v>16</v>
      </c>
      <c r="K26" s="29">
        <v>25</v>
      </c>
      <c r="L26" s="29">
        <f t="shared" si="2"/>
        <v>24.8</v>
      </c>
      <c r="M26" s="29">
        <v>23</v>
      </c>
      <c r="N26" s="29">
        <v>27</v>
      </c>
      <c r="O26" s="29">
        <v>21</v>
      </c>
      <c r="P26" s="29">
        <v>29</v>
      </c>
    </row>
    <row r="27" spans="1:16" ht="20.149999999999999" customHeight="1" x14ac:dyDescent="0.45">
      <c r="A27" s="20">
        <v>17</v>
      </c>
      <c r="B27" s="19">
        <v>45332</v>
      </c>
      <c r="C27" s="19" t="s">
        <v>49</v>
      </c>
      <c r="D27" s="42">
        <v>0.45833333333333331</v>
      </c>
      <c r="E27" s="21">
        <v>23.7</v>
      </c>
      <c r="F27" s="21">
        <f t="shared" si="3"/>
        <v>-1.3000000000000007</v>
      </c>
      <c r="G27" s="25" t="s">
        <v>8</v>
      </c>
      <c r="H27" s="22" t="s">
        <v>16</v>
      </c>
      <c r="J27" s="3">
        <f t="shared" si="1"/>
        <v>17</v>
      </c>
      <c r="K27" s="29">
        <v>25</v>
      </c>
      <c r="L27" s="29">
        <f t="shared" si="2"/>
        <v>23.7</v>
      </c>
      <c r="M27" s="29">
        <v>23</v>
      </c>
      <c r="N27" s="29">
        <v>27</v>
      </c>
      <c r="O27" s="29">
        <v>21</v>
      </c>
      <c r="P27" s="29">
        <v>29</v>
      </c>
    </row>
    <row r="28" spans="1:16" ht="20.149999999999999" customHeight="1" x14ac:dyDescent="0.45">
      <c r="A28" s="20">
        <v>18</v>
      </c>
      <c r="B28" s="19">
        <v>45332</v>
      </c>
      <c r="C28" s="19" t="s">
        <v>49</v>
      </c>
      <c r="D28" s="42">
        <v>0.625</v>
      </c>
      <c r="E28" s="21">
        <v>24.1</v>
      </c>
      <c r="F28" s="21">
        <f t="shared" si="3"/>
        <v>-0.89999999999999858</v>
      </c>
      <c r="G28" s="25" t="s">
        <v>8</v>
      </c>
      <c r="H28" s="22" t="s">
        <v>16</v>
      </c>
      <c r="J28" s="3">
        <f t="shared" si="1"/>
        <v>18</v>
      </c>
      <c r="K28" s="29">
        <v>25</v>
      </c>
      <c r="L28" s="29">
        <f t="shared" si="2"/>
        <v>24.1</v>
      </c>
      <c r="M28" s="29">
        <v>23</v>
      </c>
      <c r="N28" s="29">
        <v>27</v>
      </c>
      <c r="O28" s="29">
        <v>21</v>
      </c>
      <c r="P28" s="29">
        <v>29</v>
      </c>
    </row>
    <row r="29" spans="1:16" ht="20.149999999999999" customHeight="1" x14ac:dyDescent="0.45">
      <c r="A29" s="20">
        <v>19</v>
      </c>
      <c r="B29" s="19">
        <v>45333</v>
      </c>
      <c r="C29" s="19" t="s">
        <v>50</v>
      </c>
      <c r="D29" s="42">
        <v>0.45833333333333331</v>
      </c>
      <c r="E29" s="21">
        <v>23.2</v>
      </c>
      <c r="F29" s="21">
        <f t="shared" si="3"/>
        <v>-1.8000000000000007</v>
      </c>
      <c r="G29" s="25" t="s">
        <v>8</v>
      </c>
      <c r="H29" s="22" t="s">
        <v>16</v>
      </c>
      <c r="J29" s="3">
        <f t="shared" si="1"/>
        <v>19</v>
      </c>
      <c r="K29" s="29">
        <v>25</v>
      </c>
      <c r="L29" s="29">
        <f t="shared" si="2"/>
        <v>23.2</v>
      </c>
      <c r="M29" s="29">
        <v>23</v>
      </c>
      <c r="N29" s="29">
        <v>27</v>
      </c>
      <c r="O29" s="29">
        <v>21</v>
      </c>
      <c r="P29" s="29">
        <v>29</v>
      </c>
    </row>
    <row r="30" spans="1:16" ht="20.149999999999999" customHeight="1" x14ac:dyDescent="0.45">
      <c r="A30" s="20">
        <v>20</v>
      </c>
      <c r="B30" s="19">
        <v>45333</v>
      </c>
      <c r="C30" s="19" t="s">
        <v>50</v>
      </c>
      <c r="D30" s="42">
        <v>0.625</v>
      </c>
      <c r="E30" s="21">
        <v>23.5</v>
      </c>
      <c r="F30" s="21">
        <f t="shared" si="3"/>
        <v>-1.5</v>
      </c>
      <c r="G30" s="25" t="s">
        <v>8</v>
      </c>
      <c r="H30" s="22" t="s">
        <v>16</v>
      </c>
      <c r="J30" s="3">
        <f t="shared" si="1"/>
        <v>20</v>
      </c>
      <c r="K30" s="29">
        <v>25</v>
      </c>
      <c r="L30" s="29">
        <f t="shared" si="2"/>
        <v>23.5</v>
      </c>
      <c r="M30" s="29">
        <v>23</v>
      </c>
      <c r="N30" s="29">
        <v>27</v>
      </c>
      <c r="O30" s="29">
        <v>21</v>
      </c>
      <c r="P30" s="29">
        <v>29</v>
      </c>
    </row>
    <row r="31" spans="1:16" ht="20.149999999999999" customHeight="1" x14ac:dyDescent="0.45">
      <c r="A31" s="20">
        <v>21</v>
      </c>
      <c r="B31" s="19">
        <v>45334</v>
      </c>
      <c r="C31" s="19" t="s">
        <v>37</v>
      </c>
      <c r="D31" s="42">
        <v>0.45833333333333331</v>
      </c>
      <c r="E31" s="21">
        <v>24.3</v>
      </c>
      <c r="F31" s="21">
        <f t="shared" si="3"/>
        <v>-0.69999999999999929</v>
      </c>
      <c r="G31" s="25" t="s">
        <v>8</v>
      </c>
      <c r="H31" s="22" t="s">
        <v>16</v>
      </c>
      <c r="J31" s="3">
        <f t="shared" si="1"/>
        <v>21</v>
      </c>
      <c r="K31" s="29">
        <v>25</v>
      </c>
      <c r="L31" s="29">
        <f t="shared" si="2"/>
        <v>24.3</v>
      </c>
      <c r="M31" s="29">
        <v>23</v>
      </c>
      <c r="N31" s="29">
        <v>27</v>
      </c>
      <c r="O31" s="29">
        <v>21</v>
      </c>
      <c r="P31" s="29">
        <v>29</v>
      </c>
    </row>
    <row r="32" spans="1:16" ht="20.149999999999999" customHeight="1" x14ac:dyDescent="0.45">
      <c r="A32" s="20">
        <v>22</v>
      </c>
      <c r="B32" s="19">
        <v>45334</v>
      </c>
      <c r="C32" s="19" t="s">
        <v>37</v>
      </c>
      <c r="D32" s="42">
        <v>0.625</v>
      </c>
      <c r="E32" s="21">
        <v>25.2</v>
      </c>
      <c r="F32" s="21">
        <f t="shared" si="3"/>
        <v>0.19999999999999929</v>
      </c>
      <c r="G32" s="25" t="s">
        <v>8</v>
      </c>
      <c r="H32" s="22" t="s">
        <v>16</v>
      </c>
      <c r="J32" s="3">
        <f t="shared" si="1"/>
        <v>22</v>
      </c>
      <c r="K32" s="29">
        <v>25</v>
      </c>
      <c r="L32" s="29">
        <f t="shared" si="2"/>
        <v>25.2</v>
      </c>
      <c r="M32" s="29">
        <v>23</v>
      </c>
      <c r="N32" s="29">
        <v>27</v>
      </c>
      <c r="O32" s="29">
        <v>21</v>
      </c>
      <c r="P32" s="29">
        <v>29</v>
      </c>
    </row>
    <row r="33" spans="1:16" ht="20.149999999999999" customHeight="1" x14ac:dyDescent="0.45">
      <c r="A33" s="20">
        <v>23</v>
      </c>
      <c r="B33" s="19">
        <v>45335</v>
      </c>
      <c r="C33" s="19" t="s">
        <v>47</v>
      </c>
      <c r="D33" s="42">
        <v>0.45833333333333331</v>
      </c>
      <c r="E33" s="21">
        <v>24.6</v>
      </c>
      <c r="F33" s="21">
        <f t="shared" si="3"/>
        <v>-0.39999999999999858</v>
      </c>
      <c r="G33" s="25" t="s">
        <v>8</v>
      </c>
      <c r="H33" s="22" t="s">
        <v>16</v>
      </c>
      <c r="J33" s="3">
        <f t="shared" si="1"/>
        <v>23</v>
      </c>
      <c r="K33" s="29">
        <v>25</v>
      </c>
      <c r="L33" s="29">
        <f t="shared" si="2"/>
        <v>24.6</v>
      </c>
      <c r="M33" s="29">
        <v>23</v>
      </c>
      <c r="N33" s="29">
        <v>27</v>
      </c>
      <c r="O33" s="29">
        <v>21</v>
      </c>
      <c r="P33" s="29">
        <v>29</v>
      </c>
    </row>
    <row r="34" spans="1:16" ht="20.149999999999999" customHeight="1" x14ac:dyDescent="0.45">
      <c r="A34" s="20">
        <v>24</v>
      </c>
      <c r="B34" s="19">
        <v>45335</v>
      </c>
      <c r="C34" s="19" t="s">
        <v>47</v>
      </c>
      <c r="D34" s="42">
        <v>0.625</v>
      </c>
      <c r="E34" s="21">
        <v>25.4</v>
      </c>
      <c r="F34" s="21">
        <f t="shared" si="3"/>
        <v>0.39999999999999858</v>
      </c>
      <c r="G34" s="25" t="s">
        <v>8</v>
      </c>
      <c r="H34" s="22" t="s">
        <v>16</v>
      </c>
      <c r="J34" s="3">
        <f t="shared" si="1"/>
        <v>24</v>
      </c>
      <c r="K34" s="29">
        <v>25</v>
      </c>
      <c r="L34" s="29">
        <f t="shared" ref="L34:L38" si="4">E34</f>
        <v>25.4</v>
      </c>
      <c r="M34" s="29">
        <v>23</v>
      </c>
      <c r="N34" s="29">
        <v>27</v>
      </c>
      <c r="O34" s="29">
        <v>21</v>
      </c>
      <c r="P34" s="29">
        <v>29</v>
      </c>
    </row>
    <row r="35" spans="1:16" ht="20.149999999999999" customHeight="1" x14ac:dyDescent="0.45">
      <c r="A35" s="20">
        <v>25</v>
      </c>
      <c r="B35" s="19">
        <v>45336</v>
      </c>
      <c r="C35" s="19" t="s">
        <v>48</v>
      </c>
      <c r="D35" s="42">
        <v>0.45833333333333331</v>
      </c>
      <c r="E35" s="21">
        <v>23.1</v>
      </c>
      <c r="F35" s="21">
        <f t="shared" si="3"/>
        <v>-1.8999999999999986</v>
      </c>
      <c r="G35" s="25" t="s">
        <v>8</v>
      </c>
      <c r="H35" s="22" t="s">
        <v>16</v>
      </c>
      <c r="J35" s="3">
        <f t="shared" si="1"/>
        <v>25</v>
      </c>
      <c r="K35" s="29">
        <v>25</v>
      </c>
      <c r="L35" s="29">
        <f t="shared" si="4"/>
        <v>23.1</v>
      </c>
      <c r="M35" s="29">
        <v>23</v>
      </c>
      <c r="N35" s="29">
        <v>27</v>
      </c>
      <c r="O35" s="29">
        <v>21</v>
      </c>
      <c r="P35" s="29">
        <v>29</v>
      </c>
    </row>
    <row r="36" spans="1:16" ht="20.149999999999999" customHeight="1" x14ac:dyDescent="0.45">
      <c r="A36" s="20">
        <v>26</v>
      </c>
      <c r="B36" s="19">
        <v>45336</v>
      </c>
      <c r="C36" s="19" t="s">
        <v>48</v>
      </c>
      <c r="D36" s="42">
        <v>0.625</v>
      </c>
      <c r="E36" s="21">
        <v>23.6</v>
      </c>
      <c r="F36" s="21">
        <f t="shared" si="3"/>
        <v>-1.3999999999999986</v>
      </c>
      <c r="G36" s="25" t="s">
        <v>8</v>
      </c>
      <c r="H36" s="22" t="s">
        <v>16</v>
      </c>
      <c r="J36" s="3">
        <f t="shared" si="1"/>
        <v>26</v>
      </c>
      <c r="K36" s="29">
        <v>25</v>
      </c>
      <c r="L36" s="29">
        <f t="shared" si="4"/>
        <v>23.6</v>
      </c>
      <c r="M36" s="29">
        <v>23</v>
      </c>
      <c r="N36" s="29">
        <v>27</v>
      </c>
      <c r="O36" s="29">
        <v>21</v>
      </c>
      <c r="P36" s="29">
        <v>29</v>
      </c>
    </row>
    <row r="37" spans="1:16" ht="20.149999999999999" customHeight="1" x14ac:dyDescent="0.45">
      <c r="A37" s="20">
        <v>27</v>
      </c>
      <c r="B37" s="19">
        <v>45337</v>
      </c>
      <c r="C37" s="19" t="s">
        <v>42</v>
      </c>
      <c r="D37" s="42">
        <v>0.45833333333333331</v>
      </c>
      <c r="E37" s="21">
        <v>23.7</v>
      </c>
      <c r="F37" s="21">
        <f t="shared" si="3"/>
        <v>-1.3000000000000007</v>
      </c>
      <c r="G37" s="25" t="s">
        <v>8</v>
      </c>
      <c r="H37" s="22" t="s">
        <v>16</v>
      </c>
      <c r="J37" s="3">
        <f t="shared" si="1"/>
        <v>27</v>
      </c>
      <c r="K37" s="29">
        <v>25</v>
      </c>
      <c r="L37" s="29">
        <f t="shared" si="4"/>
        <v>23.7</v>
      </c>
      <c r="M37" s="29">
        <v>23</v>
      </c>
      <c r="N37" s="29">
        <v>27</v>
      </c>
      <c r="O37" s="29">
        <v>21</v>
      </c>
      <c r="P37" s="29">
        <v>29</v>
      </c>
    </row>
    <row r="38" spans="1:16" ht="20.149999999999999" customHeight="1" x14ac:dyDescent="0.45">
      <c r="A38" s="20">
        <v>28</v>
      </c>
      <c r="B38" s="19">
        <v>45337</v>
      </c>
      <c r="C38" s="19" t="s">
        <v>42</v>
      </c>
      <c r="D38" s="42">
        <v>0.625</v>
      </c>
      <c r="E38" s="21">
        <v>24.2</v>
      </c>
      <c r="F38" s="21">
        <f t="shared" si="3"/>
        <v>-0.80000000000000071</v>
      </c>
      <c r="G38" s="25" t="s">
        <v>8</v>
      </c>
      <c r="H38" s="22" t="s">
        <v>16</v>
      </c>
      <c r="J38" s="3">
        <f t="shared" si="1"/>
        <v>28</v>
      </c>
      <c r="K38" s="29">
        <v>25</v>
      </c>
      <c r="L38" s="29">
        <f t="shared" si="4"/>
        <v>24.2</v>
      </c>
      <c r="M38" s="29">
        <v>23</v>
      </c>
      <c r="N38" s="29">
        <v>27</v>
      </c>
      <c r="O38" s="29">
        <v>21</v>
      </c>
      <c r="P38" s="29">
        <v>29</v>
      </c>
    </row>
    <row r="39" spans="1:16" ht="20.149999999999999" customHeight="1" x14ac:dyDescent="0.45">
      <c r="A39" s="19" t="s">
        <v>38</v>
      </c>
      <c r="B39" s="32">
        <f>AVERAGE(E11:E38)</f>
        <v>24.092857142857149</v>
      </c>
      <c r="C39" s="19" t="s">
        <v>39</v>
      </c>
      <c r="D39" s="33">
        <v>25.4</v>
      </c>
      <c r="E39" s="21" t="s">
        <v>40</v>
      </c>
      <c r="F39" s="33">
        <v>23.1</v>
      </c>
      <c r="G39" s="25" t="s">
        <v>8</v>
      </c>
      <c r="H39" s="22" t="s">
        <v>16</v>
      </c>
      <c r="K39" s="29"/>
      <c r="L39" s="29"/>
      <c r="M39" s="29"/>
      <c r="N39" s="29"/>
      <c r="O39" s="29"/>
      <c r="P39" s="29"/>
    </row>
    <row r="40" spans="1:16" ht="27" customHeight="1" x14ac:dyDescent="0.45">
      <c r="A40" s="43" t="s">
        <v>9</v>
      </c>
      <c r="B40" s="27"/>
      <c r="C40" s="27"/>
      <c r="D40" s="28"/>
      <c r="E40" s="28"/>
      <c r="F40" s="28"/>
      <c r="G40" s="28"/>
      <c r="H40" s="28"/>
    </row>
    <row r="41" spans="1:16" ht="17" customHeight="1" x14ac:dyDescent="0.45">
      <c r="A41" s="27"/>
      <c r="B41" s="27"/>
      <c r="C41" s="27"/>
      <c r="D41" s="34" t="s">
        <v>0</v>
      </c>
      <c r="E41" s="27"/>
      <c r="F41" s="27"/>
      <c r="G41" s="34" t="s">
        <v>1</v>
      </c>
      <c r="H41" s="34" t="s">
        <v>2</v>
      </c>
    </row>
    <row r="42" spans="1:16" ht="12" customHeight="1" x14ac:dyDescent="0.45"/>
    <row r="43" spans="1:16" x14ac:dyDescent="0.45">
      <c r="A43" s="16" t="s">
        <v>15</v>
      </c>
      <c r="E43" s="17"/>
      <c r="F43" s="17"/>
    </row>
    <row r="44" spans="1:16" x14ac:dyDescent="0.45">
      <c r="D44" s="18" t="s">
        <v>0</v>
      </c>
      <c r="G44" s="18" t="s">
        <v>1</v>
      </c>
      <c r="H44" s="18" t="s">
        <v>2</v>
      </c>
    </row>
    <row r="46" spans="1:16" x14ac:dyDescent="0.45">
      <c r="A46" s="16"/>
    </row>
    <row r="47" spans="1:16" ht="26.5" customHeight="1" x14ac:dyDescent="0.45"/>
    <row r="48" spans="1:16" ht="29" customHeight="1" x14ac:dyDescent="0.45"/>
    <row r="49" spans="1:8" ht="19.5" customHeight="1" x14ac:dyDescent="0.45"/>
    <row r="51" spans="1:8" ht="2.25" customHeight="1" x14ac:dyDescent="0.45"/>
    <row r="52" spans="1:8" customFormat="1" ht="14.5" hidden="1" x14ac:dyDescent="0.35"/>
    <row r="53" spans="1:8" customFormat="1" x14ac:dyDescent="0.35">
      <c r="A53" s="44"/>
      <c r="B53" s="45"/>
      <c r="C53" s="45"/>
      <c r="D53" s="46"/>
      <c r="E53" s="45"/>
      <c r="F53" s="46"/>
      <c r="G53" s="47"/>
      <c r="H53" s="48"/>
    </row>
  </sheetData>
  <mergeCells count="1">
    <mergeCell ref="D1:F2"/>
  </mergeCells>
  <printOptions horizontalCentered="1" verticalCentered="1"/>
  <pageMargins left="0.7" right="0.7" top="0.75" bottom="0.75" header="0.3" footer="0.3"/>
  <pageSetup paperSize="9"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2024-08-06T08:14:30Z</cp:lastPrinted>
  <dcterms:created xsi:type="dcterms:W3CDTF">2019-12-19T05:48:48Z</dcterms:created>
  <dcterms:modified xsi:type="dcterms:W3CDTF">2024-08-06T08:14:33Z</dcterms:modified>
</cp:coreProperties>
</file>