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green\Dropbox\IS0-17025-2017\Resource Requirement Procedure\(QCL-LSP-03) Environmental Conditions\Filled\Rev# 01\3.03\December\Day\"/>
    </mc:Choice>
  </mc:AlternateContent>
  <xr:revisionPtr revIDLastSave="0" documentId="13_ncr:1_{2011C65F-A3A5-4692-8A91-314EA5EFBD8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in Hall-Sep-1" sheetId="6" r:id="rId1"/>
  </sheets>
  <definedNames>
    <definedName name="_1_Apr_2021">#REF!</definedName>
    <definedName name="_xlnm.Print_Area" localSheetId="0">'Main Hall-Sep-1'!$A$1:$H$49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6" l="1"/>
  <c r="L36" i="6"/>
  <c r="F40" i="6"/>
  <c r="F39" i="6"/>
  <c r="F11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L40" i="6"/>
  <c r="L39" i="6"/>
  <c r="F36" i="6"/>
  <c r="F35" i="6"/>
  <c r="L35" i="6"/>
  <c r="F24" i="6"/>
  <c r="L24" i="6"/>
  <c r="F23" i="6"/>
  <c r="L23" i="6"/>
  <c r="L32" i="6" l="1"/>
  <c r="L33" i="6"/>
  <c r="L34" i="6"/>
  <c r="L37" i="6"/>
  <c r="L38" i="6"/>
  <c r="F32" i="6" l="1"/>
  <c r="F33" i="6"/>
  <c r="F34" i="6"/>
  <c r="F37" i="6"/>
  <c r="F38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<sst xmlns="http://schemas.openxmlformats.org/spreadsheetml/2006/main" count="138" uniqueCount="52">
  <si>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</si>
  <si>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</si>
  <si>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</si>
  <si>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</si>
  <si>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</si>
  <si>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</si>
  <si>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</si>
  <si>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</si>
  <si>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</si>
  <si>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</si>
  <si>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</si>
  <si>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</si>
  <si>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</si>
  <si>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</si>
  <si>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</si>
  <si>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</si>
  <si>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</si>
  <si>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</si>
  <si>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</si>
  <si>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</si>
  <si>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</si>
  <si>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</si>
  <si>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</si>
  <si>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</si>
  <si>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</si>
  <si>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</si>
  <si>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</si>
  <si>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</si>
  <si>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</si>
  <si>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</si>
  <si>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</si>
  <si>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</si>
  <si>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</si>
  <si>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</si>
  <si>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</si>
  <si>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VAN/PFTL/EQP-001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</si>
  <si>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</si>
  <si>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</si>
  <si>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</si>
  <si>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</si>
  <si>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</si>
  <si>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</si>
  <si>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</si>
  <si>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</si>
  <si>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</si>
  <si>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</si>
  <si>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</si>
  <si>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</si>
  <si>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</si>
  <si>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</si>
  <si>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  11:00 AM</t>
  </si>
  <si>
    <t>December-2024 (second Half)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</si>
</sst>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6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43" fontId="2" fillId="0" borderId="0" xfId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8" fillId="0" borderId="12" xfId="0" applyFont="1" applyBorder="1" applyAlignment="1">
      <alignment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14" fontId="8" fillId="0" borderId="14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168" fontId="8" fillId="0" borderId="14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14" fontId="8" fillId="0" borderId="2" xfId="0" applyNumberFormat="1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166" fontId="8" fillId="0" borderId="3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left" vertical="center"/>
    </xf>
    <xf numFmtId="166" fontId="8" fillId="0" borderId="2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center" vertical="center"/>
    </xf>
    <xf numFmtId="0" fontId="8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8" fillId="0" borderId="1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67" fontId="2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43" fontId="2" fillId="2" borderId="0" xfId="1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Hall-Sep-1'!$K$11:$K$38</c:f>
              <c:numCache>
                <c:formatCode>0.0</c:formatCode>
                <c:ptCount val="2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Hall-Sep-1'!$L$11:$L$38</c:f>
              <c:numCache>
                <c:formatCode>0.0</c:formatCode>
                <c:ptCount val="28"/>
                <c:pt idx="0">
                  <c:v>23.7</c:v>
                </c:pt>
                <c:pt idx="1">
                  <c:v>24.9</c:v>
                </c:pt>
                <c:pt idx="2">
                  <c:v>24.3</c:v>
                </c:pt>
                <c:pt idx="3">
                  <c:v>25</c:v>
                </c:pt>
                <c:pt idx="4">
                  <c:v>23.1</c:v>
                </c:pt>
                <c:pt idx="5">
                  <c:v>24.7</c:v>
                </c:pt>
                <c:pt idx="6">
                  <c:v>22.7</c:v>
                </c:pt>
                <c:pt idx="7">
                  <c:v>24.1</c:v>
                </c:pt>
                <c:pt idx="8">
                  <c:v>23.5</c:v>
                </c:pt>
                <c:pt idx="9">
                  <c:v>24.8</c:v>
                </c:pt>
                <c:pt idx="10">
                  <c:v>23.9</c:v>
                </c:pt>
                <c:pt idx="11">
                  <c:v>25.1</c:v>
                </c:pt>
                <c:pt idx="12">
                  <c:v>22.7</c:v>
                </c:pt>
                <c:pt idx="13">
                  <c:v>24.9</c:v>
                </c:pt>
                <c:pt idx="14">
                  <c:v>23.4</c:v>
                </c:pt>
                <c:pt idx="15">
                  <c:v>25.3</c:v>
                </c:pt>
                <c:pt idx="16">
                  <c:v>23.9</c:v>
                </c:pt>
                <c:pt idx="17">
                  <c:v>24.8</c:v>
                </c:pt>
                <c:pt idx="18">
                  <c:v>23.1</c:v>
                </c:pt>
                <c:pt idx="19">
                  <c:v>24.8</c:v>
                </c:pt>
                <c:pt idx="20">
                  <c:v>22.9</c:v>
                </c:pt>
                <c:pt idx="21">
                  <c:v>23.8</c:v>
                </c:pt>
                <c:pt idx="22">
                  <c:v>22.6</c:v>
                </c:pt>
                <c:pt idx="23">
                  <c:v>24.1</c:v>
                </c:pt>
                <c:pt idx="24">
                  <c:v>22.3</c:v>
                </c:pt>
                <c:pt idx="25">
                  <c:v>24.4</c:v>
                </c:pt>
                <c:pt idx="26">
                  <c:v>22.7</c:v>
                </c:pt>
                <c:pt idx="27">
                  <c:v>23.9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Hall-Sep-1'!$M$11:$M$38</c:f>
              <c:numCache>
                <c:formatCode>0.0</c:formatCode>
                <c:ptCount val="2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Hall-Sep-1'!$N$11:$N$38</c:f>
              <c:numCache>
                <c:formatCode>0.0</c:formatCode>
                <c:ptCount val="28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Hall-Sep-1'!$O$11:$O$38</c:f>
              <c:numCache>
                <c:formatCode>0.0</c:formatCode>
                <c:ptCount val="28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Hall-Sep-1'!$P$11:$P$38</c:f>
              <c:numCache>
                <c:formatCode>0.0</c:formatCode>
                <c:ptCount val="28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6"/>
  <sheetViews>
    <sheetView tabSelected="1" view="pageLayout" topLeftCell="A10" zoomScale="80" zoomScaleNormal="100" zoomScaleSheetLayoutView="100" zoomScalePageLayoutView="80" workbookViewId="0">
      <selection activeCell="A13" sqref="A13"/>
    </sheetView>
  </sheetViews>
  <sheetFormatPr defaultColWidth="9.21875" defaultRowHeight="15" x14ac:dyDescent="0.35"/>
  <cols>
    <col min="1" max="2" width="15.77734375" style="2" customWidth="1"/>
    <col min="3" max="3" width="15.5546875" style="2" customWidth="1"/>
    <col min="4" max="4" width="16.44140625" style="2" customWidth="1"/>
    <col min="5" max="5" width="17.21875" style="2" customWidth="1"/>
    <col min="6" max="6" width="22" style="2" customWidth="1"/>
    <col min="7" max="7" width="19.5546875" style="2" customWidth="1"/>
    <col min="8" max="8" width="15.44140625" style="2" customWidth="1"/>
    <col min="9" max="9" width="16.21875" style="2" customWidth="1"/>
    <col min="10" max="16384" width="9.21875" style="2"/>
  </cols>
  <sheetData>
    <row r="1" spans="1:16" customFormat="1" ht="16.5" customHeight="1" thickBot="1" x14ac:dyDescent="0.35">
      <c r="A1" s="48"/>
      <c r="B1" s="49"/>
      <c r="C1" s="54" t="s">
        <v>1</v>
      </c>
      <c r="D1" s="54"/>
      <c r="E1" s="54"/>
      <c r="F1" s="55"/>
      <c r="G1" s="21" t="s">
        <v>28</v>
      </c>
      <c r="H1" s="22" t="s">
        <v>30</v>
      </c>
    </row>
    <row r="2" spans="1:16" customFormat="1" ht="16.5" customHeight="1" thickTop="1" thickBot="1" x14ac:dyDescent="0.35">
      <c r="A2" s="50"/>
      <c r="B2" s="51"/>
      <c r="C2" s="56"/>
      <c r="D2" s="56"/>
      <c r="E2" s="56"/>
      <c r="F2" s="57"/>
      <c r="G2" s="23" t="s">
        <v>29</v>
      </c>
      <c r="H2" s="24">
        <v>45301</v>
      </c>
    </row>
    <row r="3" spans="1:16" ht="13.05" customHeight="1" thickTop="1" thickBot="1" x14ac:dyDescent="0.4">
      <c r="A3" s="52"/>
      <c r="B3" s="53"/>
      <c r="C3" s="25"/>
      <c r="D3" s="26"/>
      <c r="E3" s="26"/>
      <c r="F3" s="26"/>
      <c r="G3" s="23" t="s">
        <v>36</v>
      </c>
      <c r="H3" s="27">
        <v>1</v>
      </c>
    </row>
    <row r="4" spans="1:16" ht="16.5" customHeight="1" thickTop="1" x14ac:dyDescent="0.35">
      <c r="A4" s="28" t="s">
        <v>2</v>
      </c>
      <c r="B4" s="29"/>
      <c r="C4" s="30"/>
      <c r="D4" s="31" t="s">
        <v>18</v>
      </c>
      <c r="E4" s="29"/>
      <c r="F4" s="28" t="s">
        <v>13</v>
      </c>
      <c r="G4" s="32" t="s">
        <v>51</v>
      </c>
      <c r="H4" s="33"/>
    </row>
    <row r="5" spans="1:16" ht="16.95" customHeight="1" x14ac:dyDescent="0.35">
      <c r="A5" s="28" t="s">
        <v>11</v>
      </c>
      <c r="B5" s="29"/>
      <c r="C5" s="31"/>
      <c r="D5" s="31" t="s">
        <v>23</v>
      </c>
      <c r="E5" s="34"/>
      <c r="F5" s="35" t="s">
        <v>12</v>
      </c>
      <c r="G5" s="28" t="s">
        <v>34</v>
      </c>
      <c r="H5" s="33"/>
    </row>
    <row r="6" spans="1:16" ht="14.55" customHeight="1" x14ac:dyDescent="0.35">
      <c r="A6" s="28" t="s">
        <v>31</v>
      </c>
      <c r="B6" s="29"/>
      <c r="C6" s="31"/>
      <c r="D6" s="36">
        <v>25</v>
      </c>
      <c r="E6" s="37"/>
      <c r="F6" s="35" t="s">
        <v>14</v>
      </c>
      <c r="G6" s="40" t="s">
        <v>35</v>
      </c>
      <c r="H6" s="37"/>
    </row>
    <row r="7" spans="1:16" ht="16.8" x14ac:dyDescent="0.35">
      <c r="A7" s="28" t="s">
        <v>32</v>
      </c>
      <c r="B7" s="29"/>
      <c r="C7" s="31"/>
      <c r="D7" s="36">
        <v>20</v>
      </c>
      <c r="E7" s="39"/>
      <c r="F7" s="35" t="s">
        <v>41</v>
      </c>
      <c r="G7" s="38">
        <v>30</v>
      </c>
      <c r="H7" s="39"/>
    </row>
    <row r="8" spans="1:16" ht="16.8" x14ac:dyDescent="0.35">
      <c r="A8" s="28" t="s">
        <v>33</v>
      </c>
      <c r="B8" s="29"/>
      <c r="C8" s="31"/>
      <c r="D8" s="36">
        <v>15</v>
      </c>
      <c r="E8" s="39"/>
      <c r="F8" s="35" t="s">
        <v>42</v>
      </c>
      <c r="G8" s="38">
        <v>35</v>
      </c>
      <c r="H8" s="39"/>
    </row>
    <row r="9" spans="1:16" ht="339.75" customHeight="1" x14ac:dyDescent="0.35">
      <c r="D9" s="3"/>
      <c r="F9" s="3"/>
    </row>
    <row r="10" spans="1:16" ht="46.5" customHeight="1" x14ac:dyDescent="0.3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00000000000001" customHeight="1" x14ac:dyDescent="0.35">
      <c r="A11" s="5">
        <v>1</v>
      </c>
      <c r="B11" s="58">
        <v>45642</v>
      </c>
      <c r="C11" s="58" t="s">
        <v>49</v>
      </c>
      <c r="D11" s="15">
        <v>0.45833333333333331</v>
      </c>
      <c r="E11" s="6">
        <v>23.7</v>
      </c>
      <c r="F11" s="6">
        <f>E11-D6</f>
        <v>-1.3000000000000007</v>
      </c>
      <c r="G11" s="10" t="s">
        <v>4</v>
      </c>
      <c r="H11" s="7" t="s">
        <v>10</v>
      </c>
      <c r="J11" s="2">
        <f t="shared" ref="J11:J42" si="0">A11</f>
        <v>1</v>
      </c>
      <c r="K11" s="11">
        <v>25</v>
      </c>
      <c r="L11" s="11">
        <f>E11</f>
        <v>23.7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00000000000001" customHeight="1" x14ac:dyDescent="0.35">
      <c r="A12" s="5">
        <v>2</v>
      </c>
      <c r="B12" s="58">
        <v>45642</v>
      </c>
      <c r="C12" s="58" t="s">
        <v>49</v>
      </c>
      <c r="D12" s="15">
        <v>0.625</v>
      </c>
      <c r="E12" s="6">
        <v>24.9</v>
      </c>
      <c r="F12" s="6">
        <f t="shared" ref="F12:F28" si="1">E12-$D$6</f>
        <v>-0.10000000000000142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28" si="2">E12</f>
        <v>24.9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00000000000001" customHeight="1" x14ac:dyDescent="0.35">
      <c r="A13" s="5">
        <v>3</v>
      </c>
      <c r="B13" s="58">
        <v>45643</v>
      </c>
      <c r="C13" s="58" t="s">
        <v>43</v>
      </c>
      <c r="D13" s="15">
        <v>0.45833333333333331</v>
      </c>
      <c r="E13" s="6">
        <v>24.3</v>
      </c>
      <c r="F13" s="6">
        <f t="shared" si="1"/>
        <v>-0.69999999999999929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24.3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00000000000001" customHeight="1" x14ac:dyDescent="0.35">
      <c r="A14" s="5">
        <v>4</v>
      </c>
      <c r="B14" s="58">
        <v>45643</v>
      </c>
      <c r="C14" s="58" t="s">
        <v>43</v>
      </c>
      <c r="D14" s="15">
        <v>0.625</v>
      </c>
      <c r="E14" s="6">
        <v>25</v>
      </c>
      <c r="F14" s="6">
        <f t="shared" si="1"/>
        <v>0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25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00000000000001" customHeight="1" x14ac:dyDescent="0.35">
      <c r="A15" s="5">
        <v>5</v>
      </c>
      <c r="B15" s="58">
        <v>45644</v>
      </c>
      <c r="C15" s="58" t="s">
        <v>44</v>
      </c>
      <c r="D15" s="15">
        <v>0.45833333333333331</v>
      </c>
      <c r="E15" s="6">
        <v>23.1</v>
      </c>
      <c r="F15" s="6">
        <f t="shared" si="1"/>
        <v>-1.8999999999999986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23.1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00000000000001" customHeight="1" x14ac:dyDescent="0.35">
      <c r="A16" s="5">
        <v>6</v>
      </c>
      <c r="B16" s="58">
        <v>45644</v>
      </c>
      <c r="C16" s="58" t="s">
        <v>44</v>
      </c>
      <c r="D16" s="15">
        <v>0.625</v>
      </c>
      <c r="E16" s="6">
        <v>24.7</v>
      </c>
      <c r="F16" s="6">
        <f t="shared" si="1"/>
        <v>-0.30000000000000071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24.7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00000000000001" customHeight="1" x14ac:dyDescent="0.35">
      <c r="A17" s="5">
        <v>7</v>
      </c>
      <c r="B17" s="58">
        <v>45645</v>
      </c>
      <c r="C17" s="58" t="s">
        <v>45</v>
      </c>
      <c r="D17" s="15">
        <v>0.45833333333333331</v>
      </c>
      <c r="E17" s="6">
        <v>22.7</v>
      </c>
      <c r="F17" s="6">
        <f t="shared" si="1"/>
        <v>-2.3000000000000007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22.7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00000000000001" customHeight="1" x14ac:dyDescent="0.35">
      <c r="A18" s="5">
        <v>8</v>
      </c>
      <c r="B18" s="58">
        <v>45645</v>
      </c>
      <c r="C18" s="58" t="s">
        <v>45</v>
      </c>
      <c r="D18" s="15">
        <v>0.625</v>
      </c>
      <c r="E18" s="6">
        <v>24.1</v>
      </c>
      <c r="F18" s="6">
        <f t="shared" si="1"/>
        <v>-0.89999999999999858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24.1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00000000000001" customHeight="1" x14ac:dyDescent="0.35">
      <c r="A19" s="5">
        <v>9</v>
      </c>
      <c r="B19" s="58">
        <v>45646</v>
      </c>
      <c r="C19" s="58" t="s">
        <v>46</v>
      </c>
      <c r="D19" s="15">
        <v>0.45833333333333331</v>
      </c>
      <c r="E19" s="6">
        <v>23.5</v>
      </c>
      <c r="F19" s="6">
        <f t="shared" si="1"/>
        <v>-1.5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23.5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00000000000001" customHeight="1" x14ac:dyDescent="0.35">
      <c r="A20" s="5">
        <v>10</v>
      </c>
      <c r="B20" s="58">
        <v>45646</v>
      </c>
      <c r="C20" s="58" t="s">
        <v>46</v>
      </c>
      <c r="D20" s="15">
        <v>0.625</v>
      </c>
      <c r="E20" s="6">
        <v>24.8</v>
      </c>
      <c r="F20" s="6">
        <f t="shared" si="1"/>
        <v>-0.19999999999999929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24.8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35">
      <c r="A21" s="5">
        <v>11</v>
      </c>
      <c r="B21" s="58">
        <v>45647</v>
      </c>
      <c r="C21" s="58" t="s">
        <v>47</v>
      </c>
      <c r="D21" s="15">
        <v>0.45833333333333331</v>
      </c>
      <c r="E21" s="6">
        <v>23.9</v>
      </c>
      <c r="F21" s="6">
        <f t="shared" si="1"/>
        <v>-1.1000000000000014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23.9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35">
      <c r="A22" s="5">
        <v>12</v>
      </c>
      <c r="B22" s="58">
        <v>45647</v>
      </c>
      <c r="C22" s="58" t="s">
        <v>47</v>
      </c>
      <c r="D22" s="15">
        <v>0.625</v>
      </c>
      <c r="E22" s="6">
        <v>25.1</v>
      </c>
      <c r="F22" s="6">
        <f>E22-$D$6</f>
        <v>0.10000000000000142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25.1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35">
      <c r="A23" s="5">
        <v>13</v>
      </c>
      <c r="B23" s="58">
        <v>45648</v>
      </c>
      <c r="C23" s="58" t="s">
        <v>48</v>
      </c>
      <c r="D23" s="15">
        <v>0.45833333333333331</v>
      </c>
      <c r="E23" s="6">
        <v>22.7</v>
      </c>
      <c r="F23" s="6">
        <f>E23-$D$6</f>
        <v>-2.3000000000000007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22.7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35">
      <c r="A24" s="5">
        <v>14</v>
      </c>
      <c r="B24" s="58">
        <v>45648</v>
      </c>
      <c r="C24" s="58" t="s">
        <v>48</v>
      </c>
      <c r="D24" s="15">
        <v>0.625</v>
      </c>
      <c r="E24" s="6">
        <v>24.9</v>
      </c>
      <c r="F24" s="6">
        <f>E24-$D$6</f>
        <v>-0.10000000000000142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24.9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00000000000001" customHeight="1" x14ac:dyDescent="0.35">
      <c r="A25" s="5">
        <v>15</v>
      </c>
      <c r="B25" s="58">
        <v>45649</v>
      </c>
      <c r="C25" s="58" t="s">
        <v>49</v>
      </c>
      <c r="D25" s="15">
        <v>0.45833333333333331</v>
      </c>
      <c r="E25" s="6">
        <v>23.4</v>
      </c>
      <c r="F25" s="6">
        <f t="shared" si="1"/>
        <v>-1.6000000000000014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23.4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00000000000001" customHeight="1" x14ac:dyDescent="0.35">
      <c r="A26" s="5">
        <v>16</v>
      </c>
      <c r="B26" s="58">
        <v>45649</v>
      </c>
      <c r="C26" s="58" t="s">
        <v>49</v>
      </c>
      <c r="D26" s="15">
        <v>0.625</v>
      </c>
      <c r="E26" s="6">
        <v>25.3</v>
      </c>
      <c r="F26" s="6">
        <f t="shared" si="1"/>
        <v>0.30000000000000071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25.3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00000000000001" customHeight="1" x14ac:dyDescent="0.35">
      <c r="A27" s="5">
        <v>17</v>
      </c>
      <c r="B27" s="58">
        <v>45650</v>
      </c>
      <c r="C27" s="58" t="s">
        <v>43</v>
      </c>
      <c r="D27" s="15">
        <v>0.45833333333333331</v>
      </c>
      <c r="E27" s="6">
        <v>23.9</v>
      </c>
      <c r="F27" s="6">
        <f t="shared" si="1"/>
        <v>-1.1000000000000014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23.9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00000000000001" customHeight="1" x14ac:dyDescent="0.35">
      <c r="A28" s="5">
        <v>18</v>
      </c>
      <c r="B28" s="58">
        <v>45650</v>
      </c>
      <c r="C28" s="58" t="s">
        <v>43</v>
      </c>
      <c r="D28" s="15">
        <v>0.625</v>
      </c>
      <c r="E28" s="6">
        <v>24.8</v>
      </c>
      <c r="F28" s="6">
        <f t="shared" si="1"/>
        <v>-0.19999999999999929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24.8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00000000000001" customHeight="1" x14ac:dyDescent="0.35">
      <c r="A29" s="5">
        <v>19</v>
      </c>
      <c r="B29" s="58">
        <v>45622</v>
      </c>
      <c r="C29" s="58" t="s">
        <v>45</v>
      </c>
      <c r="D29" s="15">
        <v>0.45833333333333331</v>
      </c>
      <c r="E29" s="6">
        <v>23.1</v>
      </c>
      <c r="F29" s="6">
        <f>E29-$D$6</f>
        <v>-1.8999999999999986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ref="L29:L38" si="3">E29</f>
        <v>23.1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00000000000001" customHeight="1" x14ac:dyDescent="0.35">
      <c r="A30" s="5">
        <v>20</v>
      </c>
      <c r="B30" s="58">
        <v>45622</v>
      </c>
      <c r="C30" s="58" t="s">
        <v>45</v>
      </c>
      <c r="D30" s="15">
        <v>0.625</v>
      </c>
      <c r="E30" s="6">
        <v>24.8</v>
      </c>
      <c r="F30" s="6">
        <f>E30-$D$6</f>
        <v>-0.19999999999999929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3"/>
        <v>24.8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00000000000001" customHeight="1" x14ac:dyDescent="0.35">
      <c r="A31" s="5">
        <v>21</v>
      </c>
      <c r="B31" s="58">
        <v>45623</v>
      </c>
      <c r="C31" s="58" t="s">
        <v>46</v>
      </c>
      <c r="D31" s="15">
        <v>0.45833333333333331</v>
      </c>
      <c r="E31" s="6">
        <v>22.9</v>
      </c>
      <c r="F31" s="6">
        <f>E31-$D$6</f>
        <v>-2.1000000000000014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3"/>
        <v>22.9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00000000000001" customHeight="1" x14ac:dyDescent="0.35">
      <c r="A32" s="5">
        <v>22</v>
      </c>
      <c r="B32" s="58">
        <v>45623</v>
      </c>
      <c r="C32" s="58" t="s">
        <v>46</v>
      </c>
      <c r="D32" s="15">
        <v>0.625</v>
      </c>
      <c r="E32" s="6">
        <v>23.8</v>
      </c>
      <c r="F32" s="6">
        <f t="shared" ref="F32:F38" si="4">E32-$D$6</f>
        <v>-1.1999999999999993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3"/>
        <v>23.8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00000000000001" customHeight="1" x14ac:dyDescent="0.35">
      <c r="A33" s="5">
        <v>23</v>
      </c>
      <c r="B33" s="58">
        <v>45624</v>
      </c>
      <c r="C33" s="58" t="s">
        <v>47</v>
      </c>
      <c r="D33" s="15" t="s">
        <v>50</v>
      </c>
      <c r="E33" s="6">
        <v>22.6</v>
      </c>
      <c r="F33" s="6">
        <f t="shared" si="4"/>
        <v>-2.3999999999999986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3"/>
        <v>22.6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00000000000001" customHeight="1" x14ac:dyDescent="0.35">
      <c r="A34" s="5">
        <v>24</v>
      </c>
      <c r="B34" s="58">
        <v>45624</v>
      </c>
      <c r="C34" s="58" t="s">
        <v>47</v>
      </c>
      <c r="D34" s="15">
        <v>0.625</v>
      </c>
      <c r="E34" s="6">
        <v>24.1</v>
      </c>
      <c r="F34" s="6">
        <f t="shared" si="4"/>
        <v>-0.89999999999999858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si="3"/>
        <v>24.1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00000000000001" customHeight="1" x14ac:dyDescent="0.35">
      <c r="A35" s="5">
        <v>25</v>
      </c>
      <c r="B35" s="58">
        <v>45625</v>
      </c>
      <c r="C35" s="58" t="s">
        <v>48</v>
      </c>
      <c r="D35" s="15">
        <v>0.45833333333333331</v>
      </c>
      <c r="E35" s="6">
        <v>22.3</v>
      </c>
      <c r="F35" s="6">
        <f t="shared" si="4"/>
        <v>-2.6999999999999993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3"/>
        <v>22.3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00000000000001" customHeight="1" x14ac:dyDescent="0.35">
      <c r="A36" s="5">
        <v>26</v>
      </c>
      <c r="B36" s="58">
        <v>45625</v>
      </c>
      <c r="C36" s="58" t="s">
        <v>48</v>
      </c>
      <c r="D36" s="15">
        <v>0.625</v>
      </c>
      <c r="E36" s="6">
        <v>24.4</v>
      </c>
      <c r="F36" s="6">
        <f t="shared" si="4"/>
        <v>-0.60000000000000142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3"/>
        <v>24.4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00000000000001" customHeight="1" x14ac:dyDescent="0.35">
      <c r="A37" s="5">
        <v>27</v>
      </c>
      <c r="B37" s="58">
        <v>45626</v>
      </c>
      <c r="C37" s="59" t="s">
        <v>49</v>
      </c>
      <c r="D37" s="15">
        <v>0.45833333333333331</v>
      </c>
      <c r="E37" s="6">
        <v>22.7</v>
      </c>
      <c r="F37" s="6">
        <f t="shared" si="4"/>
        <v>-2.3000000000000007</v>
      </c>
      <c r="G37" s="10" t="s">
        <v>4</v>
      </c>
      <c r="H37" s="7" t="s">
        <v>10</v>
      </c>
      <c r="J37" s="2">
        <f t="shared" si="0"/>
        <v>27</v>
      </c>
      <c r="K37" s="11">
        <v>25</v>
      </c>
      <c r="L37" s="11">
        <f t="shared" si="3"/>
        <v>22.7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00000000000001" customHeight="1" x14ac:dyDescent="0.35">
      <c r="A38" s="5">
        <v>28</v>
      </c>
      <c r="B38" s="58">
        <v>45626</v>
      </c>
      <c r="C38" s="59" t="s">
        <v>49</v>
      </c>
      <c r="D38" s="15">
        <v>0.625</v>
      </c>
      <c r="E38" s="6">
        <v>23.9</v>
      </c>
      <c r="F38" s="6">
        <f t="shared" si="4"/>
        <v>-1.1000000000000014</v>
      </c>
      <c r="G38" s="10" t="s">
        <v>4</v>
      </c>
      <c r="H38" s="7" t="s">
        <v>10</v>
      </c>
      <c r="J38" s="2">
        <f t="shared" si="0"/>
        <v>28</v>
      </c>
      <c r="K38" s="11">
        <v>25</v>
      </c>
      <c r="L38" s="11">
        <f t="shared" si="3"/>
        <v>23.9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00000000000001" customHeight="1" x14ac:dyDescent="0.35">
      <c r="A39" s="5">
        <v>29</v>
      </c>
      <c r="B39" s="58">
        <v>45657</v>
      </c>
      <c r="C39" s="59" t="s">
        <v>43</v>
      </c>
      <c r="D39" s="15">
        <v>0.45833333333333331</v>
      </c>
      <c r="E39" s="6">
        <v>22.7</v>
      </c>
      <c r="F39" s="6">
        <f t="shared" ref="F39:F40" si="5">E39-$D$6</f>
        <v>-2.3000000000000007</v>
      </c>
      <c r="G39" s="10" t="s">
        <v>4</v>
      </c>
      <c r="H39" s="7" t="s">
        <v>10</v>
      </c>
      <c r="J39" s="2">
        <f t="shared" si="0"/>
        <v>29</v>
      </c>
      <c r="K39" s="11">
        <v>25</v>
      </c>
      <c r="L39" s="11">
        <f>E41</f>
        <v>0</v>
      </c>
      <c r="M39" s="11">
        <v>20</v>
      </c>
      <c r="N39" s="11">
        <v>30</v>
      </c>
      <c r="O39" s="11">
        <v>15</v>
      </c>
      <c r="P39" s="11">
        <v>35</v>
      </c>
    </row>
    <row r="40" spans="1:16" s="12" customFormat="1" ht="20.100000000000001" customHeight="1" x14ac:dyDescent="0.35">
      <c r="A40" s="5">
        <v>30</v>
      </c>
      <c r="B40" s="58">
        <v>45657</v>
      </c>
      <c r="C40" s="60" t="s">
        <v>43</v>
      </c>
      <c r="D40" s="15">
        <v>0.625</v>
      </c>
      <c r="E40" s="6">
        <v>23.9</v>
      </c>
      <c r="F40" s="6">
        <f t="shared" si="5"/>
        <v>-1.1000000000000014</v>
      </c>
      <c r="G40" s="10" t="s">
        <v>4</v>
      </c>
      <c r="H40" s="7" t="s">
        <v>10</v>
      </c>
      <c r="J40" s="2">
        <f t="shared" si="0"/>
        <v>30</v>
      </c>
      <c r="K40" s="11">
        <v>25</v>
      </c>
      <c r="L40" s="11">
        <f>E42</f>
        <v>0</v>
      </c>
      <c r="M40" s="11">
        <v>20</v>
      </c>
      <c r="N40" s="11">
        <v>30</v>
      </c>
      <c r="O40" s="11">
        <v>15</v>
      </c>
      <c r="P40" s="11">
        <v>35</v>
      </c>
    </row>
    <row r="41" spans="1:16" s="12" customFormat="1" ht="20.100000000000001" customHeight="1" x14ac:dyDescent="0.35">
      <c r="A41" s="5"/>
      <c r="B41" s="4"/>
      <c r="C41" s="4"/>
      <c r="D41" s="15"/>
      <c r="E41" s="6"/>
      <c r="F41" s="14"/>
      <c r="G41" s="10"/>
      <c r="H41" s="7"/>
      <c r="J41" s="2">
        <f t="shared" si="0"/>
        <v>0</v>
      </c>
    </row>
    <row r="42" spans="1:16" s="12" customFormat="1" ht="20.100000000000001" customHeight="1" x14ac:dyDescent="0.35">
      <c r="A42" s="5"/>
      <c r="B42" s="4"/>
      <c r="C42" s="4"/>
      <c r="D42" s="15"/>
      <c r="E42" s="6"/>
      <c r="F42" s="14"/>
      <c r="G42" s="10"/>
      <c r="H42" s="7"/>
      <c r="J42" s="2">
        <f t="shared" si="0"/>
        <v>0</v>
      </c>
    </row>
    <row r="43" spans="1:16" ht="20.100000000000001" customHeight="1" x14ac:dyDescent="0.35">
      <c r="A43" s="4" t="s">
        <v>25</v>
      </c>
      <c r="B43" s="13">
        <f>AVERAGE(E11:E40)</f>
        <v>23.866666666666667</v>
      </c>
      <c r="C43" s="4" t="s">
        <v>26</v>
      </c>
      <c r="D43" s="14">
        <v>25.3</v>
      </c>
      <c r="E43" s="6" t="s">
        <v>27</v>
      </c>
      <c r="F43" s="14">
        <v>22.3</v>
      </c>
      <c r="G43" s="10" t="s">
        <v>4</v>
      </c>
      <c r="H43" s="7" t="s">
        <v>10</v>
      </c>
      <c r="K43" s="11"/>
      <c r="L43" s="11"/>
      <c r="M43" s="11"/>
      <c r="N43" s="11"/>
      <c r="O43" s="11"/>
      <c r="P43" s="11"/>
    </row>
    <row r="44" spans="1:16" ht="19.95" customHeight="1" x14ac:dyDescent="0.35">
      <c r="A44" s="41"/>
      <c r="B44" s="42"/>
      <c r="C44" s="42"/>
      <c r="D44" s="42"/>
      <c r="H44" s="42"/>
      <c r="J44" s="2" t="s">
        <v>38</v>
      </c>
    </row>
    <row r="45" spans="1:16" ht="16.95" customHeight="1" x14ac:dyDescent="0.35"/>
    <row r="46" spans="1:16" x14ac:dyDescent="0.35">
      <c r="A46" s="2" t="s">
        <v>39</v>
      </c>
      <c r="B46" s="43"/>
      <c r="C46" s="44"/>
      <c r="D46" s="44"/>
      <c r="E46" s="42"/>
      <c r="F46" s="45" t="s">
        <v>37</v>
      </c>
      <c r="H46" s="46" t="s">
        <v>38</v>
      </c>
    </row>
    <row r="49" spans="1:8" x14ac:dyDescent="0.35">
      <c r="A49" s="2" t="s">
        <v>40</v>
      </c>
      <c r="B49" s="47"/>
      <c r="C49" s="47"/>
      <c r="D49" s="47"/>
      <c r="F49" s="45" t="s">
        <v>37</v>
      </c>
      <c r="H49" s="46" t="s">
        <v>38</v>
      </c>
    </row>
    <row r="50" spans="1:8" ht="26.55" customHeight="1" x14ac:dyDescent="0.35"/>
    <row r="51" spans="1:8" ht="28.95" customHeight="1" x14ac:dyDescent="0.35"/>
    <row r="52" spans="1:8" ht="19.5" customHeight="1" x14ac:dyDescent="0.35"/>
    <row r="54" spans="1:8" ht="2.25" customHeight="1" x14ac:dyDescent="0.35"/>
    <row r="55" spans="1:8" customFormat="1" ht="14.4" hidden="1" x14ac:dyDescent="0.3"/>
    <row r="56" spans="1:8" customFormat="1" x14ac:dyDescent="0.3">
      <c r="A56" s="16"/>
      <c r="B56" s="17"/>
      <c r="C56" s="17"/>
      <c r="D56" s="18"/>
      <c r="E56" s="17"/>
      <c r="F56" s="18"/>
      <c r="G56" s="19"/>
      <c r="H56" s="20"/>
    </row>
  </sheetData>
  <mergeCells count="2">
    <mergeCell ref="A1:B3"/>
    <mergeCell ref="C1:F2"/>
  </mergeCells>
  <printOptions horizontalCentered="1" verticalCentered="1"/>
  <pageMargins left="0.83611111111111114" right="0.7" top="0.75" bottom="0.75" header="0.3" footer="0.3"/>
  <pageSetup paperSize="9" scale="56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vgreen</cp:lastModifiedBy>
  <cp:lastPrinted>2025-01-06T08:24:25Z</cp:lastPrinted>
  <dcterms:created xsi:type="dcterms:W3CDTF">2019-12-19T05:48:48Z</dcterms:created>
  <dcterms:modified xsi:type="dcterms:W3CDTF">2025-01-06T08:29:42Z</dcterms:modified>
</cp:coreProperties>
</file>