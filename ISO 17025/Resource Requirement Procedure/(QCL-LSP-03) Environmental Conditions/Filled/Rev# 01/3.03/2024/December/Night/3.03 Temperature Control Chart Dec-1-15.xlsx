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3\December\Night\"/>
    </mc:Choice>
  </mc:AlternateContent>
  <xr:revisionPtr revIDLastSave="0" documentId="13_ncr:1_{A154502A-087B-424D-8118-F7D1E175D1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" i="6" l="1"/>
  <c r="J40" i="6"/>
  <c r="L39" i="6"/>
  <c r="J39" i="6"/>
  <c r="B41" i="6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F38" i="6"/>
  <c r="L38" i="6"/>
  <c r="F37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<sst xmlns="http://schemas.openxmlformats.org/spreadsheetml/2006/main" count="136" uniqueCount="51">
  <si>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</si>
  <si>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</si>
  <si>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</si>
  <si>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</si>
  <si>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</si>
  <si>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</si>
  <si>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</si>
  <si>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</si>
  <si>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</si>
  <si>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</si>
  <si>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</si>
  <si>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</si>
  <si>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</si>
  <si>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</si>
  <si>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</si>
  <si>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</si>
  <si>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</si>
  <si>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</si>
  <si>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</si>
  <si>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</si>
  <si>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</si>
  <si>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</si>
  <si>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</si>
  <si>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</si>
  <si>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</si>
  <si>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</si>
  <si>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</si>
  <si>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</si>
  <si>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</si>
  <si>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</si>
  <si>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</si>
  <si>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</si>
  <si>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</si>
  <si>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</si>
  <si>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</si>
  <si>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VAN/PFTL/EQP-001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</si>
  <si>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</si>
  <si>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</si>
  <si>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</si>
  <si>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</si>
  <si>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</si>
  <si>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</si>
  <si>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</si>
  <si>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</si>
  <si>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</si>
  <si>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</si>
  <si>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</si>
  <si>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</si>
  <si>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</si>
  <si>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</si>
  <si>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Decembere-2024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</si>
</sst>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center"/>
    </xf>
    <xf numFmtId="166" fontId="2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6" fontId="2" fillId="0" borderId="2" xfId="0" quotePrefix="1" applyNumberFormat="1" applyFont="1" applyBorder="1" applyAlignment="1">
      <alignment horizontal="center" vertical="center"/>
    </xf>
    <xf numFmtId="166" fontId="2" fillId="0" borderId="0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24.2</c:v>
                </c:pt>
                <c:pt idx="1">
                  <c:v>22.6</c:v>
                </c:pt>
                <c:pt idx="2">
                  <c:v>23.7</c:v>
                </c:pt>
                <c:pt idx="3">
                  <c:v>22.2</c:v>
                </c:pt>
                <c:pt idx="4">
                  <c:v>23.9</c:v>
                </c:pt>
                <c:pt idx="5">
                  <c:v>21.9</c:v>
                </c:pt>
                <c:pt idx="6">
                  <c:v>24.2</c:v>
                </c:pt>
                <c:pt idx="7">
                  <c:v>22.6</c:v>
                </c:pt>
                <c:pt idx="8">
                  <c:v>24.1</c:v>
                </c:pt>
                <c:pt idx="9">
                  <c:v>23.4</c:v>
                </c:pt>
                <c:pt idx="10">
                  <c:v>25.2</c:v>
                </c:pt>
                <c:pt idx="11">
                  <c:v>23.9</c:v>
                </c:pt>
                <c:pt idx="12">
                  <c:v>23.7</c:v>
                </c:pt>
                <c:pt idx="13">
                  <c:v>22.5</c:v>
                </c:pt>
                <c:pt idx="14">
                  <c:v>22.4</c:v>
                </c:pt>
                <c:pt idx="15">
                  <c:v>21.2</c:v>
                </c:pt>
                <c:pt idx="16">
                  <c:v>24.2</c:v>
                </c:pt>
                <c:pt idx="17">
                  <c:v>22.7</c:v>
                </c:pt>
                <c:pt idx="18">
                  <c:v>23.9</c:v>
                </c:pt>
                <c:pt idx="19">
                  <c:v>21.7</c:v>
                </c:pt>
                <c:pt idx="20">
                  <c:v>24.1</c:v>
                </c:pt>
                <c:pt idx="21">
                  <c:v>22.9</c:v>
                </c:pt>
                <c:pt idx="22">
                  <c:v>23.7</c:v>
                </c:pt>
                <c:pt idx="23">
                  <c:v>22.1</c:v>
                </c:pt>
                <c:pt idx="24">
                  <c:v>22.9</c:v>
                </c:pt>
                <c:pt idx="25">
                  <c:v>21.4</c:v>
                </c:pt>
                <c:pt idx="26">
                  <c:v>24.1</c:v>
                </c:pt>
                <c:pt idx="27">
                  <c:v>22.9</c:v>
                </c:pt>
                <c:pt idx="28">
                  <c:v>24.1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view="pageLayout" zoomScale="80" zoomScaleNormal="100" zoomScaleSheetLayoutView="100" zoomScalePageLayoutView="80" workbookViewId="0">
      <selection activeCell="J42" sqref="J42"/>
    </sheetView>
  </sheetViews>
  <sheetFormatPr defaultColWidth="9.21875" defaultRowHeight="15" x14ac:dyDescent="0.35"/>
  <cols>
    <col min="1" max="2" width="15.77734375" style="2" customWidth="1"/>
    <col min="3" max="3" width="15.5546875" style="2" customWidth="1"/>
    <col min="4" max="4" width="16.44140625" style="2" customWidth="1"/>
    <col min="5" max="5" width="17.21875" style="2" customWidth="1"/>
    <col min="6" max="6" width="22" style="2" customWidth="1"/>
    <col min="7" max="7" width="19.5546875" style="2" customWidth="1"/>
    <col min="8" max="8" width="15.44140625" style="2" customWidth="1"/>
    <col min="9" max="9" width="16.21875" style="2" customWidth="1"/>
    <col min="10" max="16384" width="9.21875" style="2"/>
  </cols>
  <sheetData>
    <row r="1" spans="1:16" customFormat="1" ht="16.5" customHeight="1" thickBot="1" x14ac:dyDescent="0.35">
      <c r="A1" s="50"/>
      <c r="B1" s="51"/>
      <c r="C1" s="56" t="s">
        <v>1</v>
      </c>
      <c r="D1" s="56"/>
      <c r="E1" s="56"/>
      <c r="F1" s="57"/>
      <c r="G1" s="20" t="s">
        <v>28</v>
      </c>
      <c r="H1" s="21" t="s">
        <v>30</v>
      </c>
    </row>
    <row r="2" spans="1:16" customFormat="1" ht="16.5" customHeight="1" thickTop="1" thickBot="1" x14ac:dyDescent="0.35">
      <c r="A2" s="52"/>
      <c r="B2" s="53"/>
      <c r="C2" s="58"/>
      <c r="D2" s="58"/>
      <c r="E2" s="58"/>
      <c r="F2" s="59"/>
      <c r="G2" s="22" t="s">
        <v>29</v>
      </c>
      <c r="H2" s="23">
        <v>45301</v>
      </c>
    </row>
    <row r="3" spans="1:16" ht="13.05" customHeight="1" thickTop="1" thickBot="1" x14ac:dyDescent="0.4">
      <c r="A3" s="54"/>
      <c r="B3" s="55"/>
      <c r="C3" s="24"/>
      <c r="D3" s="25"/>
      <c r="E3" s="25"/>
      <c r="F3" s="25"/>
      <c r="G3" s="22" t="s">
        <v>36</v>
      </c>
      <c r="H3" s="26">
        <v>1</v>
      </c>
    </row>
    <row r="4" spans="1:16" ht="16.5" customHeight="1" thickTop="1" x14ac:dyDescent="0.3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6.95" customHeight="1" x14ac:dyDescent="0.3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5" customHeight="1" x14ac:dyDescent="0.3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35</v>
      </c>
      <c r="H6" s="36"/>
    </row>
    <row r="7" spans="1:16" ht="16.8" x14ac:dyDescent="0.35">
      <c r="A7" s="27" t="s">
        <v>32</v>
      </c>
      <c r="B7" s="28"/>
      <c r="C7" s="30"/>
      <c r="D7" s="35">
        <v>20</v>
      </c>
      <c r="E7" s="38"/>
      <c r="F7" s="34" t="s">
        <v>41</v>
      </c>
      <c r="G7" s="37">
        <v>30</v>
      </c>
      <c r="H7" s="38"/>
    </row>
    <row r="8" spans="1:16" ht="16.8" x14ac:dyDescent="0.35">
      <c r="A8" s="27" t="s">
        <v>33</v>
      </c>
      <c r="B8" s="28"/>
      <c r="C8" s="30"/>
      <c r="D8" s="35">
        <v>15</v>
      </c>
      <c r="E8" s="38"/>
      <c r="F8" s="34" t="s">
        <v>42</v>
      </c>
      <c r="G8" s="37">
        <v>35</v>
      </c>
      <c r="H8" s="38"/>
    </row>
    <row r="9" spans="1:16" ht="339.75" customHeight="1" x14ac:dyDescent="0.35">
      <c r="D9" s="3"/>
      <c r="F9" s="3"/>
    </row>
    <row r="10" spans="1:16" ht="46.5" customHeight="1" x14ac:dyDescent="0.3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00000000000001" customHeight="1" x14ac:dyDescent="0.35">
      <c r="A11" s="5">
        <v>1</v>
      </c>
      <c r="B11" s="4">
        <v>45627</v>
      </c>
      <c r="C11" s="4" t="s">
        <v>48</v>
      </c>
      <c r="D11" s="14">
        <v>0.95833333333333337</v>
      </c>
      <c r="E11" s="6">
        <v>24.2</v>
      </c>
      <c r="F11" s="6">
        <f>E11-D6</f>
        <v>-0.80000000000000071</v>
      </c>
      <c r="G11" s="10" t="s">
        <v>4</v>
      </c>
      <c r="H11" s="7" t="s">
        <v>10</v>
      </c>
      <c r="J11" s="2">
        <f t="shared" ref="J11:J37" si="0">A11</f>
        <v>1</v>
      </c>
      <c r="K11" s="11">
        <v>25</v>
      </c>
      <c r="L11" s="11">
        <f>E11</f>
        <v>24.2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00000000000001" customHeight="1" x14ac:dyDescent="0.35">
      <c r="A12" s="5">
        <v>2</v>
      </c>
      <c r="B12" s="4">
        <v>45627</v>
      </c>
      <c r="C12" s="4" t="s">
        <v>48</v>
      </c>
      <c r="D12" s="14">
        <v>0.125</v>
      </c>
      <c r="E12" s="6">
        <v>22.6</v>
      </c>
      <c r="F12" s="6">
        <f t="shared" ref="F12:F33" si="1">E12-$D$6</f>
        <v>-2.3999999999999986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22.6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00000000000001" customHeight="1" x14ac:dyDescent="0.35">
      <c r="A13" s="5">
        <v>3</v>
      </c>
      <c r="B13" s="4">
        <v>45628</v>
      </c>
      <c r="C13" s="4" t="s">
        <v>49</v>
      </c>
      <c r="D13" s="14">
        <v>0.95833333333333337</v>
      </c>
      <c r="E13" s="6">
        <v>23.7</v>
      </c>
      <c r="F13" s="6">
        <f t="shared" si="1"/>
        <v>-1.3000000000000007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23.7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00000000000001" customHeight="1" x14ac:dyDescent="0.35">
      <c r="A14" s="5">
        <v>4</v>
      </c>
      <c r="B14" s="4">
        <v>45628</v>
      </c>
      <c r="C14" s="4" t="s">
        <v>49</v>
      </c>
      <c r="D14" s="14">
        <v>0.125</v>
      </c>
      <c r="E14" s="6">
        <v>22.2</v>
      </c>
      <c r="F14" s="6">
        <f t="shared" si="1"/>
        <v>-2.8000000000000007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22.2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00000000000001" customHeight="1" x14ac:dyDescent="0.35">
      <c r="A15" s="5">
        <v>5</v>
      </c>
      <c r="B15" s="4">
        <v>45629</v>
      </c>
      <c r="C15" s="4" t="s">
        <v>43</v>
      </c>
      <c r="D15" s="14">
        <v>0.95833333333333337</v>
      </c>
      <c r="E15" s="6">
        <v>23.9</v>
      </c>
      <c r="F15" s="6">
        <f t="shared" si="1"/>
        <v>-1.1000000000000014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23.9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00000000000001" customHeight="1" x14ac:dyDescent="0.35">
      <c r="A16" s="5">
        <v>6</v>
      </c>
      <c r="B16" s="4">
        <v>45629</v>
      </c>
      <c r="C16" s="4" t="s">
        <v>43</v>
      </c>
      <c r="D16" s="14">
        <v>0.125</v>
      </c>
      <c r="E16" s="6">
        <v>21.9</v>
      </c>
      <c r="F16" s="6">
        <f t="shared" si="1"/>
        <v>-3.1000000000000014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21.9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00000000000001" customHeight="1" x14ac:dyDescent="0.35">
      <c r="A17" s="5">
        <v>7</v>
      </c>
      <c r="B17" s="4">
        <v>45630</v>
      </c>
      <c r="C17" s="4" t="s">
        <v>44</v>
      </c>
      <c r="D17" s="14">
        <v>0.95833333333333337</v>
      </c>
      <c r="E17" s="6">
        <v>24.2</v>
      </c>
      <c r="F17" s="6">
        <f t="shared" si="1"/>
        <v>-0.80000000000000071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24.2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00000000000001" customHeight="1" x14ac:dyDescent="0.35">
      <c r="A18" s="5">
        <v>8</v>
      </c>
      <c r="B18" s="4">
        <v>45630</v>
      </c>
      <c r="C18" s="4" t="s">
        <v>44</v>
      </c>
      <c r="D18" s="14">
        <v>0.125</v>
      </c>
      <c r="E18" s="6">
        <v>22.6</v>
      </c>
      <c r="F18" s="6">
        <f t="shared" si="1"/>
        <v>-2.3999999999999986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22.6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00000000000001" customHeight="1" x14ac:dyDescent="0.35">
      <c r="A19" s="5">
        <v>9</v>
      </c>
      <c r="B19" s="4">
        <v>45631</v>
      </c>
      <c r="C19" s="4" t="s">
        <v>45</v>
      </c>
      <c r="D19" s="14">
        <v>0.95833333333333337</v>
      </c>
      <c r="E19" s="6">
        <v>24.1</v>
      </c>
      <c r="F19" s="6">
        <f t="shared" si="1"/>
        <v>-0.89999999999999858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24.1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00000000000001" customHeight="1" x14ac:dyDescent="0.35">
      <c r="A20" s="5">
        <v>10</v>
      </c>
      <c r="B20" s="4">
        <v>45631</v>
      </c>
      <c r="C20" s="4" t="s">
        <v>45</v>
      </c>
      <c r="D20" s="14">
        <v>0.125</v>
      </c>
      <c r="E20" s="6">
        <v>23.4</v>
      </c>
      <c r="F20" s="6">
        <f t="shared" si="1"/>
        <v>-1.6000000000000014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23.4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35">
      <c r="A21" s="5">
        <v>11</v>
      </c>
      <c r="B21" s="4">
        <v>45632</v>
      </c>
      <c r="C21" s="4" t="s">
        <v>46</v>
      </c>
      <c r="D21" s="14">
        <v>0.95833333333333337</v>
      </c>
      <c r="E21" s="6">
        <v>25.2</v>
      </c>
      <c r="F21" s="6">
        <f t="shared" si="1"/>
        <v>0.19999999999999929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25.2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35">
      <c r="A22" s="5">
        <v>12</v>
      </c>
      <c r="B22" s="4">
        <v>45632</v>
      </c>
      <c r="C22" s="4" t="s">
        <v>46</v>
      </c>
      <c r="D22" s="14">
        <v>0.125</v>
      </c>
      <c r="E22" s="6">
        <v>23.9</v>
      </c>
      <c r="F22" s="6">
        <f>E22-$D$6</f>
        <v>-1.1000000000000014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23.9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35">
      <c r="A23" s="5">
        <v>13</v>
      </c>
      <c r="B23" s="4">
        <v>45633</v>
      </c>
      <c r="C23" s="49" t="s">
        <v>47</v>
      </c>
      <c r="D23" s="14">
        <v>0.95833333333333337</v>
      </c>
      <c r="E23" s="6">
        <v>23.7</v>
      </c>
      <c r="F23" s="6">
        <f>E23-$D$6</f>
        <v>-1.3000000000000007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23.7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35">
      <c r="A24" s="5">
        <v>14</v>
      </c>
      <c r="B24" s="4">
        <v>45633</v>
      </c>
      <c r="C24" s="49" t="s">
        <v>47</v>
      </c>
      <c r="D24" s="14">
        <v>0.125</v>
      </c>
      <c r="E24" s="6">
        <v>22.5</v>
      </c>
      <c r="F24" s="6">
        <f>E24-$D$6</f>
        <v>-2.5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22.5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00000000000001" customHeight="1" x14ac:dyDescent="0.35">
      <c r="A25" s="5">
        <v>15</v>
      </c>
      <c r="B25" s="4">
        <v>45634</v>
      </c>
      <c r="C25" s="4" t="s">
        <v>48</v>
      </c>
      <c r="D25" s="14">
        <v>0.95833333333333337</v>
      </c>
      <c r="E25" s="6">
        <v>22.4</v>
      </c>
      <c r="F25" s="6">
        <f t="shared" si="1"/>
        <v>-2.6000000000000014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22.4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00000000000001" customHeight="1" x14ac:dyDescent="0.35">
      <c r="A26" s="5">
        <v>16</v>
      </c>
      <c r="B26" s="4">
        <v>45634</v>
      </c>
      <c r="C26" s="4" t="s">
        <v>48</v>
      </c>
      <c r="D26" s="14">
        <v>0.125</v>
      </c>
      <c r="E26" s="6">
        <v>21.2</v>
      </c>
      <c r="F26" s="6">
        <f t="shared" si="1"/>
        <v>-3.8000000000000007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21.2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00000000000001" customHeight="1" x14ac:dyDescent="0.35">
      <c r="A27" s="5">
        <v>17</v>
      </c>
      <c r="B27" s="4">
        <v>45635</v>
      </c>
      <c r="C27" s="4" t="s">
        <v>49</v>
      </c>
      <c r="D27" s="14">
        <v>0.95833333333333337</v>
      </c>
      <c r="E27" s="6">
        <v>24.2</v>
      </c>
      <c r="F27" s="6">
        <f t="shared" si="1"/>
        <v>-0.80000000000000071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24.2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00000000000001" customHeight="1" x14ac:dyDescent="0.35">
      <c r="A28" s="5">
        <v>18</v>
      </c>
      <c r="B28" s="4">
        <v>45635</v>
      </c>
      <c r="C28" s="4" t="s">
        <v>49</v>
      </c>
      <c r="D28" s="14">
        <v>0.125</v>
      </c>
      <c r="E28" s="6">
        <v>22.7</v>
      </c>
      <c r="F28" s="6">
        <f t="shared" si="1"/>
        <v>-2.3000000000000007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22.7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00000000000001" customHeight="1" x14ac:dyDescent="0.35">
      <c r="A29" s="5">
        <v>19</v>
      </c>
      <c r="B29" s="4">
        <v>45636</v>
      </c>
      <c r="C29" s="4" t="s">
        <v>43</v>
      </c>
      <c r="D29" s="14">
        <v>0.95833333333333337</v>
      </c>
      <c r="E29" s="6">
        <v>23.9</v>
      </c>
      <c r="F29" s="6">
        <f t="shared" si="1"/>
        <v>-1.1000000000000014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23.9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00000000000001" customHeight="1" x14ac:dyDescent="0.35">
      <c r="A30" s="5">
        <v>20</v>
      </c>
      <c r="B30" s="4">
        <v>45636</v>
      </c>
      <c r="C30" s="4" t="s">
        <v>43</v>
      </c>
      <c r="D30" s="14">
        <v>0.125</v>
      </c>
      <c r="E30" s="6">
        <v>21.7</v>
      </c>
      <c r="F30" s="6">
        <f t="shared" si="1"/>
        <v>-3.3000000000000007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21.7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00000000000001" customHeight="1" x14ac:dyDescent="0.35">
      <c r="A31" s="5">
        <v>21</v>
      </c>
      <c r="B31" s="4">
        <v>45637</v>
      </c>
      <c r="C31" s="4" t="s">
        <v>44</v>
      </c>
      <c r="D31" s="14">
        <v>0.95833333333333337</v>
      </c>
      <c r="E31" s="6">
        <v>24.1</v>
      </c>
      <c r="F31" s="6">
        <f t="shared" si="1"/>
        <v>-0.89999999999999858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24.1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00000000000001" customHeight="1" x14ac:dyDescent="0.35">
      <c r="A32" s="5">
        <v>22</v>
      </c>
      <c r="B32" s="4">
        <v>45637</v>
      </c>
      <c r="C32" s="4" t="s">
        <v>44</v>
      </c>
      <c r="D32" s="14">
        <v>0.125</v>
      </c>
      <c r="E32" s="6">
        <v>22.9</v>
      </c>
      <c r="F32" s="6">
        <f t="shared" si="1"/>
        <v>-2.1000000000000014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22.9</v>
      </c>
      <c r="M32" s="11">
        <v>20</v>
      </c>
      <c r="N32" s="11">
        <v>30</v>
      </c>
      <c r="O32" s="11">
        <v>15</v>
      </c>
      <c r="P32" s="11">
        <v>35</v>
      </c>
    </row>
    <row r="33" spans="1:17" ht="20.100000000000001" customHeight="1" x14ac:dyDescent="0.35">
      <c r="A33" s="5">
        <v>23</v>
      </c>
      <c r="B33" s="4">
        <v>45638</v>
      </c>
      <c r="C33" s="4" t="s">
        <v>45</v>
      </c>
      <c r="D33" s="14">
        <v>0.95833333333333337</v>
      </c>
      <c r="E33" s="6">
        <v>23.7</v>
      </c>
      <c r="F33" s="6">
        <f t="shared" si="1"/>
        <v>-1.3000000000000007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23.7</v>
      </c>
      <c r="M33" s="11">
        <v>20</v>
      </c>
      <c r="N33" s="11">
        <v>30</v>
      </c>
      <c r="O33" s="11">
        <v>15</v>
      </c>
      <c r="P33" s="11">
        <v>35</v>
      </c>
    </row>
    <row r="34" spans="1:17" ht="20.100000000000001" customHeight="1" x14ac:dyDescent="0.35">
      <c r="A34" s="5">
        <v>24</v>
      </c>
      <c r="B34" s="4">
        <v>45638</v>
      </c>
      <c r="C34" s="4" t="s">
        <v>45</v>
      </c>
      <c r="D34" s="14">
        <v>0.125</v>
      </c>
      <c r="E34" s="6">
        <v>22.1</v>
      </c>
      <c r="F34" s="6">
        <f t="shared" ref="F34:F37" si="3">E34-$D$6</f>
        <v>-2.8999999999999986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7" si="4">E34</f>
        <v>22.1</v>
      </c>
      <c r="M34" s="11">
        <v>20</v>
      </c>
      <c r="N34" s="11">
        <v>30</v>
      </c>
      <c r="O34" s="11">
        <v>15</v>
      </c>
      <c r="P34" s="11">
        <v>35</v>
      </c>
    </row>
    <row r="35" spans="1:17" ht="20.100000000000001" customHeight="1" x14ac:dyDescent="0.35">
      <c r="A35" s="5">
        <v>25</v>
      </c>
      <c r="B35" s="4">
        <v>45639</v>
      </c>
      <c r="C35" s="4" t="s">
        <v>46</v>
      </c>
      <c r="D35" s="14">
        <v>0.95833333333333337</v>
      </c>
      <c r="E35" s="6">
        <v>22.9</v>
      </c>
      <c r="F35" s="6">
        <f t="shared" si="3"/>
        <v>-2.1000000000000014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22.9</v>
      </c>
      <c r="M35" s="11">
        <v>20</v>
      </c>
      <c r="N35" s="11">
        <v>30</v>
      </c>
      <c r="O35" s="11">
        <v>15</v>
      </c>
      <c r="P35" s="11">
        <v>35</v>
      </c>
    </row>
    <row r="36" spans="1:17" ht="20.100000000000001" customHeight="1" x14ac:dyDescent="0.35">
      <c r="A36" s="5">
        <v>26</v>
      </c>
      <c r="B36" s="4">
        <v>45639</v>
      </c>
      <c r="C36" s="4" t="s">
        <v>46</v>
      </c>
      <c r="D36" s="14">
        <v>0.125</v>
      </c>
      <c r="E36" s="6">
        <v>21.4</v>
      </c>
      <c r="F36" s="6">
        <f t="shared" si="3"/>
        <v>-3.6000000000000014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21.4</v>
      </c>
      <c r="M36" s="11">
        <v>20</v>
      </c>
      <c r="N36" s="11">
        <v>30</v>
      </c>
      <c r="O36" s="11">
        <v>15</v>
      </c>
      <c r="P36" s="11">
        <v>35</v>
      </c>
    </row>
    <row r="37" spans="1:17" ht="20.100000000000001" customHeight="1" x14ac:dyDescent="0.35">
      <c r="A37" s="5">
        <v>27</v>
      </c>
      <c r="B37" s="4">
        <v>45640</v>
      </c>
      <c r="C37" s="41" t="s">
        <v>47</v>
      </c>
      <c r="D37" s="14">
        <v>0.95833333333333337</v>
      </c>
      <c r="E37" s="6">
        <v>24.1</v>
      </c>
      <c r="F37" s="6">
        <f t="shared" si="3"/>
        <v>-0.89999999999999858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24.1</v>
      </c>
      <c r="M37" s="11">
        <v>20</v>
      </c>
      <c r="N37" s="11">
        <v>30</v>
      </c>
      <c r="O37" s="11">
        <v>15</v>
      </c>
      <c r="P37" s="11">
        <v>35</v>
      </c>
    </row>
    <row r="38" spans="1:17" ht="20.100000000000001" customHeight="1" x14ac:dyDescent="0.35">
      <c r="A38" s="5">
        <v>28</v>
      </c>
      <c r="B38" s="4">
        <v>45640</v>
      </c>
      <c r="C38" s="41" t="s">
        <v>47</v>
      </c>
      <c r="D38" s="14">
        <v>0.125</v>
      </c>
      <c r="E38" s="6">
        <v>22.9</v>
      </c>
      <c r="F38" s="6">
        <f>E38-$D$6</f>
        <v>-2.1000000000000014</v>
      </c>
      <c r="G38" s="10" t="s">
        <v>4</v>
      </c>
      <c r="H38" s="60" t="s">
        <v>10</v>
      </c>
      <c r="I38" s="61"/>
      <c r="J38" s="2">
        <f>A38</f>
        <v>28</v>
      </c>
      <c r="K38" s="11">
        <v>25</v>
      </c>
      <c r="L38" s="11">
        <f>E38</f>
        <v>22.9</v>
      </c>
      <c r="M38" s="11">
        <v>20</v>
      </c>
      <c r="N38" s="11">
        <v>30</v>
      </c>
      <c r="O38" s="11">
        <v>15</v>
      </c>
      <c r="P38" s="11">
        <v>35</v>
      </c>
      <c r="Q38" s="11"/>
    </row>
    <row r="39" spans="1:17" ht="20.100000000000001" customHeight="1" x14ac:dyDescent="0.35">
      <c r="A39" s="47">
        <v>29</v>
      </c>
      <c r="B39" s="4">
        <v>45641</v>
      </c>
      <c r="C39" s="41" t="s">
        <v>48</v>
      </c>
      <c r="D39" s="14">
        <v>0.95833333333333337</v>
      </c>
      <c r="E39" s="6">
        <v>24.1</v>
      </c>
      <c r="F39" s="6">
        <f t="shared" ref="F39" si="5">E39-$D$6</f>
        <v>-0.89999999999999858</v>
      </c>
      <c r="G39" s="10" t="s">
        <v>4</v>
      </c>
      <c r="H39" s="7" t="s">
        <v>10</v>
      </c>
      <c r="I39" s="48"/>
      <c r="J39" s="2">
        <f t="shared" ref="J39:J40" si="6">A39</f>
        <v>29</v>
      </c>
      <c r="K39" s="11">
        <v>25</v>
      </c>
      <c r="L39" s="11">
        <f t="shared" ref="L39:L40" si="7">E39</f>
        <v>24.1</v>
      </c>
      <c r="M39" s="11">
        <v>20</v>
      </c>
      <c r="N39" s="11">
        <v>30</v>
      </c>
      <c r="O39" s="11">
        <v>15</v>
      </c>
      <c r="P39" s="11">
        <v>35</v>
      </c>
      <c r="Q39" s="11"/>
    </row>
    <row r="40" spans="1:17" ht="20.100000000000001" customHeight="1" x14ac:dyDescent="0.35">
      <c r="A40" s="41">
        <v>30</v>
      </c>
      <c r="B40" s="4">
        <v>45641</v>
      </c>
      <c r="C40" s="41" t="s">
        <v>48</v>
      </c>
      <c r="D40" s="14">
        <v>0.125</v>
      </c>
      <c r="E40" s="6">
        <v>22.9</v>
      </c>
      <c r="F40" s="6">
        <f>E40-$D$6</f>
        <v>-2.1000000000000014</v>
      </c>
      <c r="G40" s="10" t="s">
        <v>4</v>
      </c>
      <c r="H40" s="7" t="s">
        <v>10</v>
      </c>
      <c r="J40" s="2">
        <f>A40</f>
        <v>30</v>
      </c>
      <c r="K40" s="11">
        <v>25</v>
      </c>
      <c r="L40" s="11">
        <f>E40</f>
        <v>22.9</v>
      </c>
      <c r="M40" s="11">
        <v>20</v>
      </c>
      <c r="N40" s="11">
        <v>30</v>
      </c>
      <c r="O40" s="11">
        <v>15</v>
      </c>
      <c r="P40" s="11">
        <v>35</v>
      </c>
    </row>
    <row r="41" spans="1:17" ht="20.100000000000001" customHeight="1" x14ac:dyDescent="0.35">
      <c r="A41" s="4" t="s">
        <v>25</v>
      </c>
      <c r="B41" s="12">
        <f>AVERAGE(E11:E40)</f>
        <v>23.176666666666662</v>
      </c>
      <c r="C41" s="4" t="s">
        <v>26</v>
      </c>
      <c r="D41" s="13">
        <v>25.2</v>
      </c>
      <c r="E41" s="6" t="s">
        <v>27</v>
      </c>
      <c r="F41" s="13">
        <v>21.2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7" ht="19.95" customHeight="1" x14ac:dyDescent="0.35">
      <c r="A42" s="40"/>
      <c r="B42" s="41"/>
      <c r="C42" s="41"/>
      <c r="D42" s="41"/>
      <c r="H42" s="41"/>
    </row>
    <row r="43" spans="1:17" ht="16.95" customHeight="1" x14ac:dyDescent="0.35"/>
    <row r="44" spans="1:17" x14ac:dyDescent="0.35">
      <c r="A44" s="2" t="s">
        <v>39</v>
      </c>
      <c r="B44" s="42"/>
      <c r="C44" s="43"/>
      <c r="D44" s="43"/>
      <c r="E44" s="41"/>
      <c r="F44" s="44" t="s">
        <v>37</v>
      </c>
      <c r="H44" s="45" t="s">
        <v>38</v>
      </c>
    </row>
    <row r="47" spans="1:17" x14ac:dyDescent="0.35">
      <c r="A47" s="2" t="s">
        <v>40</v>
      </c>
      <c r="B47" s="46"/>
      <c r="C47" s="46"/>
      <c r="D47" s="46"/>
      <c r="F47" s="44" t="s">
        <v>37</v>
      </c>
      <c r="H47" s="45" t="s">
        <v>38</v>
      </c>
    </row>
    <row r="48" spans="1:17" ht="26.55" customHeight="1" x14ac:dyDescent="0.35"/>
    <row r="49" spans="1:8" ht="28.95" customHeight="1" x14ac:dyDescent="0.35"/>
    <row r="50" spans="1:8" ht="19.5" customHeight="1" x14ac:dyDescent="0.35"/>
    <row r="52" spans="1:8" ht="2.25" customHeight="1" x14ac:dyDescent="0.35"/>
    <row r="53" spans="1:8" customFormat="1" ht="14.4" hidden="1" x14ac:dyDescent="0.3"/>
    <row r="54" spans="1:8" customFormat="1" x14ac:dyDescent="0.3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6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2024-11-25T11:34:16Z</cp:lastPrinted>
  <dcterms:created xsi:type="dcterms:W3CDTF">2019-12-19T05:48:48Z</dcterms:created>
  <dcterms:modified xsi:type="dcterms:W3CDTF">2024-12-31T05:41:23Z</dcterms:modified>
</cp:coreProperties>
</file>