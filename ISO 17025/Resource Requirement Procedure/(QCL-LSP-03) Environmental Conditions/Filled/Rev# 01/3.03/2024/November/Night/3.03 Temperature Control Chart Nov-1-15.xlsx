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Rev# 01\3.03\November\Night\"/>
    </mc:Choice>
  </mc:AlternateContent>
  <xr:revisionPtr revIDLastSave="0" documentId="13_ncr:1_{707AC38F-FF10-47F8-B25E-11CB18CC48DD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B39" i="6" l="1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<sst xmlns="http://schemas.openxmlformats.org/spreadsheetml/2006/main" count="131" uniqueCount="51">
  <si>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</si>
  <si>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</si>
  <si>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</si>
  <si>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</si>
  <si>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</si>
  <si>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</si>
  <si>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</si>
  <si>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</si>
  <si>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</si>
  <si>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</si>
  <si>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</si>
  <si>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</si>
  <si>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</si>
  <si>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</si>
  <si>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</si>
  <si>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</si>
  <si>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</si>
  <si>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</si>
  <si>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</si>
  <si>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</si>
  <si>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</si>
  <si>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</si>
  <si>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</si>
  <si>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</si>
  <si>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</si>
  <si>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</si>
  <si>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</si>
  <si>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</si>
  <si>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</si>
  <si>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</si>
  <si>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</si>
  <si>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</si>
  <si>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</si>
  <si>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</si>
  <si>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</si>
  <si>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</si>
  <si>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</si>
  <si>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</si>
  <si>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</si>
  <si>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</si>
  <si>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</si>
  <si>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</si>
  <si>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</si>
  <si>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</si>
  <si>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</si>
  <si>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</si>
  <si>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</si>
  <si>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</si>
  <si>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</si>
  <si>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</si>
  <si>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November-2024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</si>
</sst>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24.2</c:v>
                </c:pt>
                <c:pt idx="1">
                  <c:v>22.6</c:v>
                </c:pt>
                <c:pt idx="2">
                  <c:v>23.7</c:v>
                </c:pt>
                <c:pt idx="3">
                  <c:v>22.2</c:v>
                </c:pt>
                <c:pt idx="4">
                  <c:v>23.9</c:v>
                </c:pt>
                <c:pt idx="5">
                  <c:v>21.9</c:v>
                </c:pt>
                <c:pt idx="6">
                  <c:v>24.2</c:v>
                </c:pt>
                <c:pt idx="7">
                  <c:v>22.6</c:v>
                </c:pt>
                <c:pt idx="8">
                  <c:v>24.1</c:v>
                </c:pt>
                <c:pt idx="9">
                  <c:v>23.4</c:v>
                </c:pt>
                <c:pt idx="10">
                  <c:v>25.2</c:v>
                </c:pt>
                <c:pt idx="11">
                  <c:v>23.9</c:v>
                </c:pt>
                <c:pt idx="12">
                  <c:v>23.7</c:v>
                </c:pt>
                <c:pt idx="13">
                  <c:v>22.5</c:v>
                </c:pt>
                <c:pt idx="14">
                  <c:v>22.4</c:v>
                </c:pt>
                <c:pt idx="15">
                  <c:v>21.2</c:v>
                </c:pt>
                <c:pt idx="16">
                  <c:v>24.2</c:v>
                </c:pt>
                <c:pt idx="17">
                  <c:v>22.7</c:v>
                </c:pt>
                <c:pt idx="18">
                  <c:v>23.9</c:v>
                </c:pt>
                <c:pt idx="19">
                  <c:v>21.7</c:v>
                </c:pt>
                <c:pt idx="20">
                  <c:v>24.1</c:v>
                </c:pt>
                <c:pt idx="21">
                  <c:v>22.9</c:v>
                </c:pt>
                <c:pt idx="22">
                  <c:v>23.7</c:v>
                </c:pt>
                <c:pt idx="23">
                  <c:v>22.1</c:v>
                </c:pt>
                <c:pt idx="24">
                  <c:v>22.9</c:v>
                </c:pt>
                <c:pt idx="25">
                  <c:v>21.4</c:v>
                </c:pt>
                <c:pt idx="26">
                  <c:v>24.1</c:v>
                </c:pt>
                <c:pt idx="2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view="pageLayout" zoomScale="80" zoomScaleNormal="100" zoomScaleSheetLayoutView="100" zoomScalePageLayoutView="80" workbookViewId="0">
      <selection activeCell="G5" sqref="G5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7"/>
      <c r="B1" s="48"/>
      <c r="C1" s="53" t="s">
        <v>1</v>
      </c>
      <c r="D1" s="53"/>
      <c r="E1" s="53"/>
      <c r="F1" s="54"/>
      <c r="G1" s="20" t="s">
        <v>28</v>
      </c>
      <c r="H1" s="21" t="s">
        <v>30</v>
      </c>
    </row>
    <row r="2" spans="1:16" customFormat="1" ht="16.5" customHeight="1" thickTop="1" thickBot="1" x14ac:dyDescent="0.4">
      <c r="A2" s="49"/>
      <c r="B2" s="50"/>
      <c r="C2" s="55"/>
      <c r="D2" s="55"/>
      <c r="E2" s="55"/>
      <c r="F2" s="56"/>
      <c r="G2" s="22" t="s">
        <v>29</v>
      </c>
      <c r="H2" s="23">
        <v>45301</v>
      </c>
    </row>
    <row r="3" spans="1:16" ht="13" customHeight="1" thickTop="1" thickBot="1" x14ac:dyDescent="0.5">
      <c r="A3" s="51"/>
      <c r="B3" s="52"/>
      <c r="C3" s="24"/>
      <c r="D3" s="25"/>
      <c r="E3" s="25"/>
      <c r="F3" s="25"/>
      <c r="G3" s="22" t="s">
        <v>36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35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41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42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45597</v>
      </c>
      <c r="C11" s="4" t="s">
        <v>46</v>
      </c>
      <c r="D11" s="14">
        <v>0.95833333333333337</v>
      </c>
      <c r="E11" s="6">
        <v>24.2</v>
      </c>
      <c r="F11" s="6">
        <f>E11-D6</f>
        <v>-0.80000000000000071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24.2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45597</v>
      </c>
      <c r="C12" s="4" t="s">
        <v>46</v>
      </c>
      <c r="D12" s="14">
        <v>0.125</v>
      </c>
      <c r="E12" s="6">
        <v>22.6</v>
      </c>
      <c r="F12" s="6">
        <f t="shared" ref="F12:F33" si="1">E12-$D$6</f>
        <v>-2.3999999999999986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22.6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45598</v>
      </c>
      <c r="C13" s="4" t="s">
        <v>47</v>
      </c>
      <c r="D13" s="14">
        <v>0.95833333333333337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45598</v>
      </c>
      <c r="C14" s="4" t="s">
        <v>47</v>
      </c>
      <c r="D14" s="14">
        <v>0.125</v>
      </c>
      <c r="E14" s="6">
        <v>22.2</v>
      </c>
      <c r="F14" s="6">
        <f t="shared" si="1"/>
        <v>-2.8000000000000007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45599</v>
      </c>
      <c r="C15" s="4" t="s">
        <v>48</v>
      </c>
      <c r="D15" s="14">
        <v>0.95833333333333337</v>
      </c>
      <c r="E15" s="6">
        <v>23.9</v>
      </c>
      <c r="F15" s="6">
        <f t="shared" si="1"/>
        <v>-1.1000000000000014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23.9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45599</v>
      </c>
      <c r="C16" s="4" t="s">
        <v>48</v>
      </c>
      <c r="D16" s="14">
        <v>0.125</v>
      </c>
      <c r="E16" s="6">
        <v>21.9</v>
      </c>
      <c r="F16" s="6">
        <f t="shared" si="1"/>
        <v>-3.1000000000000014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45600</v>
      </c>
      <c r="C17" s="4" t="s">
        <v>49</v>
      </c>
      <c r="D17" s="14">
        <v>0.95833333333333337</v>
      </c>
      <c r="E17" s="6">
        <v>24.2</v>
      </c>
      <c r="F17" s="6">
        <f t="shared" si="1"/>
        <v>-0.80000000000000071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45600</v>
      </c>
      <c r="C18" s="4" t="s">
        <v>49</v>
      </c>
      <c r="D18" s="14">
        <v>0.125</v>
      </c>
      <c r="E18" s="6">
        <v>22.6</v>
      </c>
      <c r="F18" s="6">
        <f t="shared" si="1"/>
        <v>-2.3999999999999986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45601</v>
      </c>
      <c r="C19" s="4" t="s">
        <v>43</v>
      </c>
      <c r="D19" s="14">
        <v>0.95833333333333337</v>
      </c>
      <c r="E19" s="6">
        <v>24.1</v>
      </c>
      <c r="F19" s="6">
        <f t="shared" si="1"/>
        <v>-0.89999999999999858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45601</v>
      </c>
      <c r="C20" s="4" t="s">
        <v>43</v>
      </c>
      <c r="D20" s="14">
        <v>0.125</v>
      </c>
      <c r="E20" s="6">
        <v>23.4</v>
      </c>
      <c r="F20" s="6">
        <f t="shared" si="1"/>
        <v>-1.6000000000000014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45602</v>
      </c>
      <c r="C21" s="4" t="s">
        <v>44</v>
      </c>
      <c r="D21" s="14">
        <v>0.95833333333333337</v>
      </c>
      <c r="E21" s="6">
        <v>25.2</v>
      </c>
      <c r="F21" s="6">
        <f t="shared" si="1"/>
        <v>0.19999999999999929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45602</v>
      </c>
      <c r="C22" s="4" t="s">
        <v>44</v>
      </c>
      <c r="D22" s="14">
        <v>0.125</v>
      </c>
      <c r="E22" s="6">
        <v>23.9</v>
      </c>
      <c r="F22" s="6">
        <f>E22-$D$6</f>
        <v>-1.1000000000000014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45603</v>
      </c>
      <c r="C23" s="4" t="s">
        <v>45</v>
      </c>
      <c r="D23" s="14">
        <v>0.95833333333333337</v>
      </c>
      <c r="E23" s="6">
        <v>23.7</v>
      </c>
      <c r="F23" s="6">
        <f>E23-$D$6</f>
        <v>-1.3000000000000007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45603</v>
      </c>
      <c r="C24" s="4" t="s">
        <v>45</v>
      </c>
      <c r="D24" s="14">
        <v>0.125</v>
      </c>
      <c r="E24" s="6">
        <v>22.5</v>
      </c>
      <c r="F24" s="6">
        <f>E24-$D$6</f>
        <v>-2.5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45604</v>
      </c>
      <c r="C25" s="4" t="s">
        <v>46</v>
      </c>
      <c r="D25" s="14">
        <v>0.95833333333333337</v>
      </c>
      <c r="E25" s="6">
        <v>22.4</v>
      </c>
      <c r="F25" s="6">
        <f t="shared" si="1"/>
        <v>-2.6000000000000014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45604</v>
      </c>
      <c r="C26" s="4" t="s">
        <v>46</v>
      </c>
      <c r="D26" s="14">
        <v>0.125</v>
      </c>
      <c r="E26" s="6">
        <v>21.2</v>
      </c>
      <c r="F26" s="6">
        <f t="shared" si="1"/>
        <v>-3.8000000000000007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45606</v>
      </c>
      <c r="C27" s="4" t="s">
        <v>48</v>
      </c>
      <c r="D27" s="14">
        <v>0.95833333333333337</v>
      </c>
      <c r="E27" s="6">
        <v>24.2</v>
      </c>
      <c r="F27" s="6">
        <f t="shared" si="1"/>
        <v>-0.80000000000000071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45606</v>
      </c>
      <c r="C28" s="4" t="s">
        <v>48</v>
      </c>
      <c r="D28" s="14">
        <v>0.125</v>
      </c>
      <c r="E28" s="6">
        <v>22.7</v>
      </c>
      <c r="F28" s="6">
        <f t="shared" si="1"/>
        <v>-2.3000000000000007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22.7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45607</v>
      </c>
      <c r="C29" s="4" t="s">
        <v>49</v>
      </c>
      <c r="D29" s="14">
        <v>0.95833333333333337</v>
      </c>
      <c r="E29" s="6">
        <v>23.9</v>
      </c>
      <c r="F29" s="6">
        <f t="shared" si="1"/>
        <v>-1.1000000000000014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45607</v>
      </c>
      <c r="C30" s="4" t="s">
        <v>49</v>
      </c>
      <c r="D30" s="14">
        <v>0.125</v>
      </c>
      <c r="E30" s="6">
        <v>21.7</v>
      </c>
      <c r="F30" s="6">
        <f t="shared" si="1"/>
        <v>-3.3000000000000007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21.7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45608</v>
      </c>
      <c r="C31" s="4" t="s">
        <v>43</v>
      </c>
      <c r="D31" s="14">
        <v>0.95833333333333337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45608</v>
      </c>
      <c r="C32" s="4" t="s">
        <v>43</v>
      </c>
      <c r="D32" s="14">
        <v>0.125</v>
      </c>
      <c r="E32" s="6">
        <v>22.9</v>
      </c>
      <c r="F32" s="6">
        <f t="shared" si="1"/>
        <v>-2.1000000000000014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22.9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45609</v>
      </c>
      <c r="C33" s="4" t="s">
        <v>44</v>
      </c>
      <c r="D33" s="14">
        <v>0.95833333333333337</v>
      </c>
      <c r="E33" s="6">
        <v>23.7</v>
      </c>
      <c r="F33" s="6">
        <f t="shared" si="1"/>
        <v>-1.3000000000000007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23.7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45609</v>
      </c>
      <c r="C34" s="4" t="s">
        <v>44</v>
      </c>
      <c r="D34" s="14">
        <v>0.125</v>
      </c>
      <c r="E34" s="6">
        <v>22.1</v>
      </c>
      <c r="F34" s="6">
        <f t="shared" ref="F34:F38" si="3">E34-$D$6</f>
        <v>-2.8999999999999986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22.1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45610</v>
      </c>
      <c r="C35" s="4" t="s">
        <v>45</v>
      </c>
      <c r="D35" s="14">
        <v>0.95833333333333337</v>
      </c>
      <c r="E35" s="6">
        <v>22.9</v>
      </c>
      <c r="F35" s="6">
        <f t="shared" si="3"/>
        <v>-2.1000000000000014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45610</v>
      </c>
      <c r="C36" s="4" t="s">
        <v>45</v>
      </c>
      <c r="D36" s="14">
        <v>0.125</v>
      </c>
      <c r="E36" s="6">
        <v>21.4</v>
      </c>
      <c r="F36" s="6">
        <f t="shared" si="3"/>
        <v>-3.6000000000000014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45611</v>
      </c>
      <c r="C37" s="4" t="s">
        <v>46</v>
      </c>
      <c r="D37" s="14">
        <v>0.95833333333333337</v>
      </c>
      <c r="E37" s="6">
        <v>24.1</v>
      </c>
      <c r="F37" s="6">
        <f t="shared" si="3"/>
        <v>-0.89999999999999858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24.1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45611</v>
      </c>
      <c r="C38" s="4" t="s">
        <v>46</v>
      </c>
      <c r="D38" s="14">
        <v>0.125</v>
      </c>
      <c r="E38" s="6">
        <v>22.9</v>
      </c>
      <c r="F38" s="6">
        <f t="shared" si="3"/>
        <v>-2.1000000000000014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22.9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" t="s">
        <v>25</v>
      </c>
      <c r="B39" s="12">
        <f>AVERAGE(E11:E38)</f>
        <v>23.153571428571421</v>
      </c>
      <c r="C39" s="4" t="s">
        <v>26</v>
      </c>
      <c r="D39" s="13">
        <v>25.2</v>
      </c>
      <c r="E39" s="6" t="s">
        <v>27</v>
      </c>
      <c r="F39" s="13">
        <v>21.2</v>
      </c>
      <c r="G39" s="10" t="s">
        <v>4</v>
      </c>
      <c r="H39" s="7" t="s">
        <v>10</v>
      </c>
      <c r="K39" s="11"/>
      <c r="L39" s="11"/>
      <c r="M39" s="11"/>
      <c r="N39" s="11"/>
      <c r="O39" s="11"/>
      <c r="P39" s="11"/>
    </row>
    <row r="40" spans="1:16" ht="20" customHeight="1" x14ac:dyDescent="0.45">
      <c r="A40" s="40"/>
      <c r="B40" s="41"/>
      <c r="C40" s="41"/>
      <c r="D40" s="41"/>
      <c r="H40" s="41"/>
      <c r="J40" s="2" t="s">
        <v>38</v>
      </c>
    </row>
    <row r="41" spans="1:16" ht="17" customHeight="1" x14ac:dyDescent="0.45"/>
    <row r="42" spans="1:16" x14ac:dyDescent="0.45">
      <c r="A42" s="2" t="s">
        <v>39</v>
      </c>
      <c r="B42" s="42"/>
      <c r="C42" s="43"/>
      <c r="D42" s="43"/>
      <c r="E42" s="41"/>
      <c r="F42" s="44" t="s">
        <v>37</v>
      </c>
      <c r="H42" s="45" t="s">
        <v>38</v>
      </c>
    </row>
    <row r="45" spans="1:16" x14ac:dyDescent="0.45">
      <c r="A45" s="2" t="s">
        <v>40</v>
      </c>
      <c r="B45" s="46"/>
      <c r="C45" s="46"/>
      <c r="D45" s="46"/>
      <c r="F45" s="44" t="s">
        <v>37</v>
      </c>
      <c r="H45" s="45" t="s">
        <v>38</v>
      </c>
    </row>
    <row r="46" spans="1:16" ht="26.5" customHeight="1" x14ac:dyDescent="0.45"/>
    <row r="47" spans="1:16" ht="29" customHeight="1" x14ac:dyDescent="0.45"/>
    <row r="48" spans="1:16" ht="19.5" customHeight="1" x14ac:dyDescent="0.45"/>
    <row r="50" spans="1:8" ht="2.25" customHeight="1" x14ac:dyDescent="0.45"/>
    <row r="51" spans="1:8" customFormat="1" ht="14.5" hidden="1" x14ac:dyDescent="0.35"/>
    <row r="52" spans="1:8" customFormat="1" x14ac:dyDescent="0.35">
      <c r="A52" s="15"/>
      <c r="B52" s="16"/>
      <c r="C52" s="16"/>
      <c r="D52" s="17"/>
      <c r="E52" s="16"/>
      <c r="F52" s="17"/>
      <c r="G52" s="18"/>
      <c r="H52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2024-11-25T11:34:16Z</cp:lastPrinted>
  <dcterms:created xsi:type="dcterms:W3CDTF">2019-12-19T05:48:48Z</dcterms:created>
  <dcterms:modified xsi:type="dcterms:W3CDTF">2024-11-25T11:34:33Z</dcterms:modified>
</cp:coreProperties>
</file>