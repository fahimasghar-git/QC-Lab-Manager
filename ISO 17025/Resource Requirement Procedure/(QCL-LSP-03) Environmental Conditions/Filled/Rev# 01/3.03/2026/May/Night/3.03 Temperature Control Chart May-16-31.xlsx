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Ma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F24" i="6"/>
  <c r="L24" i="6"/>
  <c r="F23" i="6"/>
  <c r="L23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<sst xmlns="http://schemas.openxmlformats.org/spreadsheetml/2006/main" count="107" uniqueCount="51">
  <si>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</si>
  <si>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</si>
  <si>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</si>
  <si>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</si>
  <si>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</si>
  <si>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</si>
  <si>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</si>
  <si>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</si>
  <si>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</si>
  <si>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</si>
  <si>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</si>
  <si>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</si>
  <si>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</si>
  <si>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</si>
  <si>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</si>
  <si>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</si>
  <si>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</si>
  <si>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</si>
  <si>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</si>
  <si>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</si>
  <si>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</si>
  <si>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</si>
  <si>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</si>
  <si>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</si>
  <si>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</si>
  <si>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</si>
  <si>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</si>
  <si>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</si>
  <si>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</si>
  <si>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</si>
  <si>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</si>
  <si>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</si>
  <si>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</si>
  <si>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</si>
  <si>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</si>
  <si>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</si>
  <si>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</si>
  <si>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</si>
  <si>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</si>
  <si>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</si>
  <si>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</si>
  <si>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</si>
  <si>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</si>
  <si>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</si>
  <si>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</si>
  <si>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</si>
  <si>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</si>
  <si>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</si>
  <si>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</si>
  <si>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</si>
  <si>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May 2026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</si>
</sst>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Hall-Sep-1'!$K$11:$K$33</c:f>
              <c:numCache>
                <c:formatCode>0.0</c:formatCode>
                <c:ptCount val="23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Hall-Sep-1'!$L$11:$L$33</c:f>
              <c:numCache>
                <c:formatCode>0.0</c:formatCode>
                <c:ptCount val="23"/>
                <c:pt idx="0">
                  <c:v>22</c:v>
                </c:pt>
                <c:pt idx="1">
                  <c:v>21.5</c:v>
                </c:pt>
                <c:pt idx="2">
                  <c:v>22</c:v>
                </c:pt>
                <c:pt idx="3">
                  <c:v>21.4</c:v>
                </c:pt>
                <c:pt idx="4">
                  <c:v>22.4</c:v>
                </c:pt>
                <c:pt idx="5">
                  <c:v>20</c:v>
                </c:pt>
                <c:pt idx="6">
                  <c:v>22.3</c:v>
                </c:pt>
                <c:pt idx="7">
                  <c:v>21.4</c:v>
                </c:pt>
                <c:pt idx="8">
                  <c:v>22</c:v>
                </c:pt>
                <c:pt idx="9">
                  <c:v>21.1</c:v>
                </c:pt>
                <c:pt idx="10">
                  <c:v>22.6</c:v>
                </c:pt>
                <c:pt idx="11">
                  <c:v>21.3</c:v>
                </c:pt>
                <c:pt idx="12">
                  <c:v>22</c:v>
                </c:pt>
                <c:pt idx="13">
                  <c:v>21.5</c:v>
                </c:pt>
                <c:pt idx="14">
                  <c:v>22</c:v>
                </c:pt>
                <c:pt idx="15">
                  <c:v>20.9</c:v>
                </c:pt>
                <c:pt idx="16">
                  <c:v>21.1</c:v>
                </c:pt>
                <c:pt idx="17">
                  <c:v>21</c:v>
                </c:pt>
                <c:pt idx="18">
                  <c:v>22.1</c:v>
                </c:pt>
                <c:pt idx="1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Hall-Sep-1'!$M$11:$M$33</c:f>
              <c:numCache>
                <c:formatCode>0.0</c:formatCode>
                <c:ptCount val="2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Hall-Sep-1'!$N$11:$N$33</c:f>
              <c:numCache>
                <c:formatCode>0.0</c:formatCode>
                <c:ptCount val="2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Hall-Sep-1'!$O$11:$O$33</c:f>
              <c:numCache>
                <c:formatCode>0.0</c:formatCode>
                <c:ptCount val="2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Hall-Sep-1'!$P$11:$P$33</c:f>
              <c:numCache>
                <c:formatCode>0.0</c:formatCode>
                <c:ptCount val="23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tabSelected="1" view="pageLayout" topLeftCell="A31" zoomScaleNormal="100" zoomScaleSheetLayoutView="100" workbookViewId="0">
      <selection activeCell="A34" sqref="A34:H4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8"/>
      <c r="B1" s="49"/>
      <c r="C1" s="54" t="s">
        <v>1</v>
      </c>
      <c r="D1" s="54"/>
      <c r="E1" s="54"/>
      <c r="F1" s="55"/>
      <c r="G1" s="20" t="s">
        <v>28</v>
      </c>
      <c r="H1" s="21" t="s">
        <v>30</v>
      </c>
    </row>
    <row r="2" spans="1:16" customFormat="1" ht="16.5" customHeight="1" thickTop="1" thickBot="1" x14ac:dyDescent="0.4">
      <c r="A2" s="50"/>
      <c r="B2" s="51"/>
      <c r="C2" s="56"/>
      <c r="D2" s="56"/>
      <c r="E2" s="56"/>
      <c r="F2" s="57"/>
      <c r="G2" s="22" t="s">
        <v>29</v>
      </c>
      <c r="H2" s="23">
        <v>45301</v>
      </c>
    </row>
    <row r="3" spans="1:16" ht="13" customHeight="1" thickTop="1" thickBot="1" x14ac:dyDescent="0.5">
      <c r="A3" s="52"/>
      <c r="B3" s="53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46158</v>
      </c>
      <c r="C11" s="4" t="s">
        <v>46</v>
      </c>
      <c r="D11" s="14">
        <v>0.95833333333333337</v>
      </c>
      <c r="E11" s="6">
        <v>22</v>
      </c>
      <c r="F11" s="6">
        <f>E11-D6</f>
        <v>-3</v>
      </c>
      <c r="G11" s="10" t="s">
        <v>4</v>
      </c>
      <c r="H11" s="7" t="s">
        <v>10</v>
      </c>
      <c r="J11" s="2">
        <f t="shared" ref="J11:J30" si="0">A11</f>
        <v>1</v>
      </c>
      <c r="K11" s="11">
        <v>25</v>
      </c>
      <c r="L11" s="11">
        <f>E11</f>
        <v>22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46158</v>
      </c>
      <c r="C12" s="4" t="s">
        <v>46</v>
      </c>
      <c r="D12" s="14">
        <v>0.125</v>
      </c>
      <c r="E12" s="6">
        <v>21.5</v>
      </c>
      <c r="F12" s="6">
        <f t="shared" ref="F12:F28" si="1">E12-$D$6</f>
        <v>-3.5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21.5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46159</v>
      </c>
      <c r="C13" s="4" t="s">
        <v>47</v>
      </c>
      <c r="D13" s="14">
        <v>0.95833333333333337</v>
      </c>
      <c r="E13" s="6">
        <v>22</v>
      </c>
      <c r="F13" s="6">
        <f t="shared" si="1"/>
        <v>-3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46159</v>
      </c>
      <c r="C14" s="4" t="s">
        <v>47</v>
      </c>
      <c r="D14" s="14">
        <v>0.125</v>
      </c>
      <c r="E14" s="6">
        <v>21.4</v>
      </c>
      <c r="F14" s="6">
        <f t="shared" si="1"/>
        <v>-3.6000000000000014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21.4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46160</v>
      </c>
      <c r="C15" s="4" t="s">
        <v>48</v>
      </c>
      <c r="D15" s="14">
        <v>0.95833333333333337</v>
      </c>
      <c r="E15" s="6">
        <v>22.4</v>
      </c>
      <c r="F15" s="6">
        <f t="shared" si="1"/>
        <v>-2.6000000000000014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22.4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46160</v>
      </c>
      <c r="C16" s="4" t="s">
        <v>48</v>
      </c>
      <c r="D16" s="14">
        <v>0.125</v>
      </c>
      <c r="E16" s="6">
        <v>20</v>
      </c>
      <c r="F16" s="6">
        <f t="shared" si="1"/>
        <v>-5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20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46161</v>
      </c>
      <c r="C17" s="4" t="s">
        <v>42</v>
      </c>
      <c r="D17" s="14">
        <v>0.95833333333333337</v>
      </c>
      <c r="E17" s="6">
        <v>22.3</v>
      </c>
      <c r="F17" s="6">
        <f t="shared" si="1"/>
        <v>-2.6999999999999993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22.3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46161</v>
      </c>
      <c r="C18" s="4" t="s">
        <v>42</v>
      </c>
      <c r="D18" s="14">
        <v>0.125</v>
      </c>
      <c r="E18" s="6">
        <v>21.4</v>
      </c>
      <c r="F18" s="6">
        <f t="shared" si="1"/>
        <v>-3.6000000000000014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21.4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46162</v>
      </c>
      <c r="C19" s="4" t="s">
        <v>43</v>
      </c>
      <c r="D19" s="14">
        <v>0.95833333333333337</v>
      </c>
      <c r="E19" s="6">
        <v>22</v>
      </c>
      <c r="F19" s="6">
        <f t="shared" si="1"/>
        <v>-3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46162</v>
      </c>
      <c r="C20" s="4" t="s">
        <v>43</v>
      </c>
      <c r="D20" s="14">
        <v>0.125</v>
      </c>
      <c r="E20" s="6">
        <v>21.1</v>
      </c>
      <c r="F20" s="6">
        <f t="shared" si="1"/>
        <v>-3.8999999999999986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21.1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46163</v>
      </c>
      <c r="C21" s="47" t="s">
        <v>44</v>
      </c>
      <c r="D21" s="14">
        <v>0.95833333333333337</v>
      </c>
      <c r="E21" s="6">
        <v>22.6</v>
      </c>
      <c r="F21" s="6">
        <f t="shared" si="1"/>
        <v>-2.3999999999999986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22.6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46163</v>
      </c>
      <c r="C22" s="47" t="s">
        <v>44</v>
      </c>
      <c r="D22" s="14">
        <v>0.125</v>
      </c>
      <c r="E22" s="6">
        <v>21.3</v>
      </c>
      <c r="F22" s="6">
        <f>E22-$D$6</f>
        <v>-3.6999999999999993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21.3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46164</v>
      </c>
      <c r="C23" s="4" t="s">
        <v>45</v>
      </c>
      <c r="D23" s="14">
        <v>0.95833333333333337</v>
      </c>
      <c r="E23" s="6">
        <v>22</v>
      </c>
      <c r="F23" s="6">
        <f>E23-$D$6</f>
        <v>-3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46164</v>
      </c>
      <c r="C24" s="4" t="s">
        <v>45</v>
      </c>
      <c r="D24" s="14">
        <v>0.125</v>
      </c>
      <c r="E24" s="6">
        <v>21.5</v>
      </c>
      <c r="F24" s="6">
        <f>E24-$D$6</f>
        <v>-3.5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21.5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46165</v>
      </c>
      <c r="C25" s="4" t="s">
        <v>46</v>
      </c>
      <c r="D25" s="14">
        <v>0.95833333333333337</v>
      </c>
      <c r="E25" s="6">
        <v>22</v>
      </c>
      <c r="F25" s="6">
        <f t="shared" si="1"/>
        <v>-3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46165</v>
      </c>
      <c r="C26" s="4" t="s">
        <v>46</v>
      </c>
      <c r="D26" s="14">
        <v>0.125</v>
      </c>
      <c r="E26" s="6">
        <v>20.9</v>
      </c>
      <c r="F26" s="6">
        <f t="shared" si="1"/>
        <v>-4.1000000000000014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20.9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46166</v>
      </c>
      <c r="C27" s="4" t="s">
        <v>47</v>
      </c>
      <c r="D27" s="14">
        <v>0.95833333333333337</v>
      </c>
      <c r="E27" s="6">
        <v>21.1</v>
      </c>
      <c r="F27" s="6">
        <f t="shared" si="1"/>
        <v>-3.8999999999999986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21.1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46166</v>
      </c>
      <c r="C28" s="4" t="s">
        <v>47</v>
      </c>
      <c r="D28" s="14">
        <v>0.125</v>
      </c>
      <c r="E28" s="6">
        <v>21</v>
      </c>
      <c r="F28" s="6">
        <f t="shared" si="1"/>
        <v>-4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46167</v>
      </c>
      <c r="C29" s="4" t="s">
        <v>48</v>
      </c>
      <c r="D29" s="14">
        <v>0.95833333333333337</v>
      </c>
      <c r="E29" s="6">
        <v>22.1</v>
      </c>
      <c r="F29" s="6">
        <f>E29-$D$6</f>
        <v>-2.8999999999999986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0" si="3">E29</f>
        <v>22.1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46167</v>
      </c>
      <c r="C30" s="4" t="s">
        <v>48</v>
      </c>
      <c r="D30" s="14">
        <v>0.125</v>
      </c>
      <c r="E30" s="6">
        <v>21</v>
      </c>
      <c r="F30" s="6">
        <f>E30-$D$6</f>
        <v>-4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/>
      <c r="B31" s="4"/>
      <c r="C31" s="4"/>
      <c r="D31" s="14"/>
      <c r="E31" s="6"/>
      <c r="F31" s="6"/>
      <c r="G31" s="10"/>
      <c r="H31" s="7"/>
      <c r="K31" s="11">
        <v>25</v>
      </c>
      <c r="L31" s="11"/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/>
      <c r="B32" s="4"/>
      <c r="C32" s="4"/>
      <c r="D32" s="14"/>
      <c r="E32" s="6"/>
      <c r="F32" s="6"/>
      <c r="G32" s="10"/>
      <c r="H32" s="7"/>
      <c r="K32" s="11">
        <v>25</v>
      </c>
      <c r="L32" s="11"/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/>
      <c r="B33" s="4"/>
      <c r="C33" s="4"/>
      <c r="D33" s="14"/>
      <c r="E33" s="6"/>
      <c r="F33" s="6"/>
      <c r="G33" s="10"/>
      <c r="H33" s="7"/>
      <c r="K33" s="11">
        <v>25</v>
      </c>
      <c r="L33" s="11"/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4" t="s">
        <v>25</v>
      </c>
      <c r="B34" s="12">
        <f>AVERAGE(E11:E33)</f>
        <v>21.580000000000002</v>
      </c>
      <c r="C34" s="4" t="s">
        <v>26</v>
      </c>
      <c r="D34" s="13">
        <v>22.6</v>
      </c>
      <c r="E34" s="6" t="s">
        <v>27</v>
      </c>
      <c r="F34" s="13">
        <v>20</v>
      </c>
      <c r="G34" s="10" t="s">
        <v>4</v>
      </c>
      <c r="H34" s="7" t="s">
        <v>10</v>
      </c>
      <c r="K34" s="11"/>
      <c r="L34" s="11"/>
      <c r="M34" s="11"/>
      <c r="N34" s="11"/>
      <c r="O34" s="11"/>
      <c r="P34" s="11"/>
    </row>
    <row r="35" spans="1:16" ht="20" customHeight="1" x14ac:dyDescent="0.45">
      <c r="A35" s="40"/>
      <c r="B35" s="41"/>
      <c r="C35" s="41"/>
      <c r="D35" s="41"/>
      <c r="H35" s="41"/>
      <c r="J35" s="2" t="s">
        <v>37</v>
      </c>
    </row>
    <row r="36" spans="1:16" ht="17" customHeight="1" x14ac:dyDescent="0.45"/>
    <row r="37" spans="1:16" x14ac:dyDescent="0.45">
      <c r="A37" s="2" t="s">
        <v>38</v>
      </c>
      <c r="B37" s="42"/>
      <c r="C37" s="43"/>
      <c r="D37" s="43"/>
      <c r="E37" s="41"/>
      <c r="F37" s="44" t="s">
        <v>36</v>
      </c>
      <c r="H37" s="45" t="s">
        <v>37</v>
      </c>
    </row>
    <row r="40" spans="1:16" x14ac:dyDescent="0.45">
      <c r="A40" s="2" t="s">
        <v>39</v>
      </c>
      <c r="B40" s="46"/>
      <c r="C40" s="46"/>
      <c r="D40" s="46"/>
      <c r="F40" s="44" t="s">
        <v>36</v>
      </c>
      <c r="H40" s="45" t="s">
        <v>37</v>
      </c>
    </row>
    <row r="41" spans="1:16" ht="26.5" customHeight="1" x14ac:dyDescent="0.45"/>
    <row r="42" spans="1:16" ht="29" customHeight="1" x14ac:dyDescent="0.45"/>
    <row r="43" spans="1:16" ht="19.5" customHeight="1" x14ac:dyDescent="0.45"/>
    <row r="45" spans="1:16" ht="2.25" customHeight="1" x14ac:dyDescent="0.45"/>
    <row r="46" spans="1:16" customFormat="1" ht="14.5" hidden="1" x14ac:dyDescent="0.35"/>
    <row r="47" spans="1:16" customFormat="1" x14ac:dyDescent="0.35">
      <c r="A47" s="15"/>
      <c r="B47" s="16"/>
      <c r="C47" s="16"/>
      <c r="D47" s="17"/>
      <c r="E47" s="16"/>
      <c r="F47" s="17"/>
      <c r="G47" s="18"/>
      <c r="H47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39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2026-06-22T07:49:15Z</cp:lastPrinted>
  <dcterms:created xsi:type="dcterms:W3CDTF">2019-12-19T05:48:48Z</dcterms:created>
  <dcterms:modified xsi:type="dcterms:W3CDTF">2026-06-22T07:49:18Z</dcterms:modified>
</cp:coreProperties>
</file>