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6\Feburary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2" i="6" l="1"/>
  <c r="F40" i="6"/>
  <c r="L41" i="6"/>
  <c r="F39" i="6"/>
  <c r="L39" i="6"/>
  <c r="J41" i="6"/>
  <c r="J39" i="6"/>
  <c r="F37" i="6" l="1"/>
  <c r="F38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L38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<sst xmlns="http://schemas.openxmlformats.org/spreadsheetml/2006/main" count="137" uniqueCount="52">
  <si>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</si>
  <si>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</si>
  <si>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</si>
  <si>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</si>
  <si>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</si>
  <si>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</si>
  <si>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</si>
  <si>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</si>
  <si>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</si>
  <si>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</si>
  <si>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</si>
  <si>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</si>
  <si>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</si>
  <si>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</si>
  <si>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</si>
  <si>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</si>
  <si>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</si>
  <si>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</si>
  <si>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</si>
  <si>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</si>
  <si>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</si>
  <si>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</si>
  <si>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</si>
  <si>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</si>
  <si>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</si>
  <si>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</si>
  <si>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</si>
  <si>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</si>
  <si>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</si>
  <si>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</si>
  <si>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</si>
  <si>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</si>
  <si>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</si>
  <si>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</si>
  <si>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</si>
  <si>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</si>
  <si>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</si>
  <si>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</si>
  <si>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</si>
  <si>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</si>
  <si>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</si>
  <si>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</si>
  <si>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</si>
  <si>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</si>
  <si>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</si>
  <si>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</si>
  <si>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</si>
  <si>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</si>
  <si>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</si>
  <si>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</si>
  <si>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</si>
  <si>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Feburary-2026 (First Half)Night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</si>
</sst>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22.2</c:v>
                </c:pt>
                <c:pt idx="1">
                  <c:v>23.7</c:v>
                </c:pt>
                <c:pt idx="2">
                  <c:v>23.1</c:v>
                </c:pt>
                <c:pt idx="3">
                  <c:v>24</c:v>
                </c:pt>
                <c:pt idx="4">
                  <c:v>23.2</c:v>
                </c:pt>
                <c:pt idx="5">
                  <c:v>24.1</c:v>
                </c:pt>
                <c:pt idx="6">
                  <c:v>22.2</c:v>
                </c:pt>
                <c:pt idx="7">
                  <c:v>23</c:v>
                </c:pt>
                <c:pt idx="8">
                  <c:v>23.3</c:v>
                </c:pt>
                <c:pt idx="9">
                  <c:v>23.2</c:v>
                </c:pt>
                <c:pt idx="10">
                  <c:v>23.1</c:v>
                </c:pt>
                <c:pt idx="11">
                  <c:v>23.9</c:v>
                </c:pt>
                <c:pt idx="12">
                  <c:v>23.1</c:v>
                </c:pt>
                <c:pt idx="13">
                  <c:v>23.8</c:v>
                </c:pt>
                <c:pt idx="14">
                  <c:v>23.7</c:v>
                </c:pt>
                <c:pt idx="15">
                  <c:v>25.3</c:v>
                </c:pt>
                <c:pt idx="16">
                  <c:v>23.8</c:v>
                </c:pt>
                <c:pt idx="17">
                  <c:v>25</c:v>
                </c:pt>
                <c:pt idx="18">
                  <c:v>24.6</c:v>
                </c:pt>
                <c:pt idx="19">
                  <c:v>26.2</c:v>
                </c:pt>
                <c:pt idx="20">
                  <c:v>24.2</c:v>
                </c:pt>
                <c:pt idx="21">
                  <c:v>26</c:v>
                </c:pt>
                <c:pt idx="22">
                  <c:v>24</c:v>
                </c:pt>
                <c:pt idx="23">
                  <c:v>25.6</c:v>
                </c:pt>
                <c:pt idx="24">
                  <c:v>24.8</c:v>
                </c:pt>
                <c:pt idx="25">
                  <c:v>25.8</c:v>
                </c:pt>
                <c:pt idx="26">
                  <c:v>24.8</c:v>
                </c:pt>
                <c:pt idx="27">
                  <c:v>26.4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10" zoomScale="85" zoomScaleNormal="100" zoomScaleSheetLayoutView="100" zoomScalePageLayoutView="85" workbookViewId="0">
      <selection activeCell="D10" sqref="D10:D40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0" t="s">
        <v>28</v>
      </c>
      <c r="H1" s="21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2" t="s">
        <v>29</v>
      </c>
      <c r="H2" s="23">
        <v>45301</v>
      </c>
    </row>
    <row r="3" spans="1:16" ht="13" customHeight="1" thickTop="1" thickBot="1" x14ac:dyDescent="0.5">
      <c r="A3" s="53"/>
      <c r="B3" s="54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51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50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46054</v>
      </c>
      <c r="C11" s="4" t="s">
        <v>47</v>
      </c>
      <c r="D11" s="14">
        <v>0.95833333333333337</v>
      </c>
      <c r="E11" s="6">
        <v>22.2</v>
      </c>
      <c r="F11" s="6">
        <f>E11-D6</f>
        <v>-2.8000000000000007</v>
      </c>
      <c r="G11" s="10" t="s">
        <v>4</v>
      </c>
      <c r="H11" s="7" t="s">
        <v>10</v>
      </c>
      <c r="J11" s="2">
        <f t="shared" ref="J11:J36" si="0">A11</f>
        <v>1</v>
      </c>
      <c r="K11" s="11">
        <v>25</v>
      </c>
      <c r="L11" s="11">
        <f>E11</f>
        <v>22.2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46054</v>
      </c>
      <c r="C12" s="4" t="s">
        <v>47</v>
      </c>
      <c r="D12" s="14">
        <v>0.125</v>
      </c>
      <c r="E12" s="6">
        <v>23.7</v>
      </c>
      <c r="F12" s="6">
        <f t="shared" ref="F12:F33" si="1">E12-$D$6</f>
        <v>-1.3000000000000007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23.7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46055</v>
      </c>
      <c r="C13" s="4" t="s">
        <v>48</v>
      </c>
      <c r="D13" s="14">
        <v>0.95833333333333337</v>
      </c>
      <c r="E13" s="6">
        <v>23.1</v>
      </c>
      <c r="F13" s="6">
        <f t="shared" si="1"/>
        <v>-1.8999999999999986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23.1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46055</v>
      </c>
      <c r="C14" s="4" t="s">
        <v>48</v>
      </c>
      <c r="D14" s="14">
        <v>0.125</v>
      </c>
      <c r="E14" s="6">
        <v>24</v>
      </c>
      <c r="F14" s="6">
        <f t="shared" si="1"/>
        <v>-1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24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46056</v>
      </c>
      <c r="C15" s="4" t="s">
        <v>42</v>
      </c>
      <c r="D15" s="14">
        <v>0.95833333333333337</v>
      </c>
      <c r="E15" s="6">
        <v>23.2</v>
      </c>
      <c r="F15" s="6">
        <f t="shared" si="1"/>
        <v>-1.8000000000000007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23.2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46056</v>
      </c>
      <c r="C16" s="4" t="s">
        <v>42</v>
      </c>
      <c r="D16" s="14">
        <v>0.125</v>
      </c>
      <c r="E16" s="6">
        <v>24.1</v>
      </c>
      <c r="F16" s="6">
        <f t="shared" si="1"/>
        <v>-0.89999999999999858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24.1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46057</v>
      </c>
      <c r="C17" s="4" t="s">
        <v>44</v>
      </c>
      <c r="D17" s="14">
        <v>0.95833333333333337</v>
      </c>
      <c r="E17" s="6">
        <v>22.2</v>
      </c>
      <c r="F17" s="6">
        <f t="shared" si="1"/>
        <v>-2.8000000000000007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22.2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46057</v>
      </c>
      <c r="C18" s="4" t="s">
        <v>44</v>
      </c>
      <c r="D18" s="14">
        <v>0.125</v>
      </c>
      <c r="E18" s="6">
        <v>23</v>
      </c>
      <c r="F18" s="6">
        <f t="shared" si="1"/>
        <v>-2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23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46058</v>
      </c>
      <c r="C19" s="4" t="s">
        <v>45</v>
      </c>
      <c r="D19" s="14">
        <v>0.95833333333333337</v>
      </c>
      <c r="E19" s="6">
        <v>23.3</v>
      </c>
      <c r="F19" s="6">
        <f t="shared" si="1"/>
        <v>-1.6999999999999993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23.3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46058</v>
      </c>
      <c r="C20" s="4" t="s">
        <v>45</v>
      </c>
      <c r="D20" s="14">
        <v>0.125</v>
      </c>
      <c r="E20" s="6">
        <v>23.2</v>
      </c>
      <c r="F20" s="6">
        <f t="shared" si="1"/>
        <v>-1.8000000000000007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23.2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46059</v>
      </c>
      <c r="C21" s="47" t="s">
        <v>46</v>
      </c>
      <c r="D21" s="14">
        <v>0.95833333333333337</v>
      </c>
      <c r="E21" s="6">
        <v>23.1</v>
      </c>
      <c r="F21" s="6">
        <f t="shared" si="1"/>
        <v>-1.8999999999999986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23.1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46059</v>
      </c>
      <c r="C22" s="47" t="s">
        <v>46</v>
      </c>
      <c r="D22" s="14">
        <v>0.125</v>
      </c>
      <c r="E22" s="6">
        <v>23.9</v>
      </c>
      <c r="F22" s="6">
        <f>E22-$D$6</f>
        <v>-1.1000000000000014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23.9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46060</v>
      </c>
      <c r="C23" s="4" t="s">
        <v>47</v>
      </c>
      <c r="D23" s="14">
        <v>0.95833333333333337</v>
      </c>
      <c r="E23" s="6">
        <v>23.1</v>
      </c>
      <c r="F23" s="6">
        <f>E23-$D$6</f>
        <v>-1.8999999999999986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23.1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46060</v>
      </c>
      <c r="C24" s="4" t="s">
        <v>47</v>
      </c>
      <c r="D24" s="14">
        <v>0.125</v>
      </c>
      <c r="E24" s="6">
        <v>23.8</v>
      </c>
      <c r="F24" s="6">
        <f>E24-$D$6</f>
        <v>-1.1999999999999993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23.8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46061</v>
      </c>
      <c r="C25" s="4" t="s">
        <v>48</v>
      </c>
      <c r="D25" s="14">
        <v>0.95833333333333337</v>
      </c>
      <c r="E25" s="6">
        <v>23.7</v>
      </c>
      <c r="F25" s="6">
        <f t="shared" si="1"/>
        <v>-1.3000000000000007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23.7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46061</v>
      </c>
      <c r="C26" s="4" t="s">
        <v>48</v>
      </c>
      <c r="D26" s="14">
        <v>0.125</v>
      </c>
      <c r="E26" s="6">
        <v>25.3</v>
      </c>
      <c r="F26" s="6">
        <f t="shared" si="1"/>
        <v>0.30000000000000071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25.3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46062</v>
      </c>
      <c r="C27" s="4" t="s">
        <v>42</v>
      </c>
      <c r="D27" s="14">
        <v>0.95833333333333337</v>
      </c>
      <c r="E27" s="6">
        <v>23.8</v>
      </c>
      <c r="F27" s="6">
        <f t="shared" si="1"/>
        <v>-1.1999999999999993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23.8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46062</v>
      </c>
      <c r="C28" s="4" t="s">
        <v>42</v>
      </c>
      <c r="D28" s="14">
        <v>0.125</v>
      </c>
      <c r="E28" s="6">
        <v>25</v>
      </c>
      <c r="F28" s="6">
        <f t="shared" si="1"/>
        <v>0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46063</v>
      </c>
      <c r="C29" s="4" t="s">
        <v>43</v>
      </c>
      <c r="D29" s="14">
        <v>0.95833333333333337</v>
      </c>
      <c r="E29" s="6">
        <v>24.6</v>
      </c>
      <c r="F29" s="6">
        <f t="shared" si="1"/>
        <v>-0.39999999999999858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24.6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46063</v>
      </c>
      <c r="C30" s="4" t="s">
        <v>43</v>
      </c>
      <c r="D30" s="14">
        <v>0.125</v>
      </c>
      <c r="E30" s="6">
        <v>26.2</v>
      </c>
      <c r="F30" s="6">
        <f t="shared" si="1"/>
        <v>1.1999999999999993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26.2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46064</v>
      </c>
      <c r="C31" s="4" t="s">
        <v>44</v>
      </c>
      <c r="D31" s="14">
        <v>0.95833333333333337</v>
      </c>
      <c r="E31" s="6">
        <v>24.2</v>
      </c>
      <c r="F31" s="6">
        <f t="shared" si="1"/>
        <v>-0.80000000000000071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24.2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46064</v>
      </c>
      <c r="C32" s="4" t="s">
        <v>44</v>
      </c>
      <c r="D32" s="14">
        <v>0.125</v>
      </c>
      <c r="E32" s="6">
        <v>26</v>
      </c>
      <c r="F32" s="6">
        <f t="shared" si="1"/>
        <v>1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26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46065</v>
      </c>
      <c r="C33" s="4" t="s">
        <v>45</v>
      </c>
      <c r="D33" s="14">
        <v>0.95833333333333337</v>
      </c>
      <c r="E33" s="6">
        <v>24</v>
      </c>
      <c r="F33" s="6">
        <f t="shared" si="1"/>
        <v>-1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24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46065</v>
      </c>
      <c r="C34" s="4" t="s">
        <v>45</v>
      </c>
      <c r="D34" s="14">
        <v>0.125</v>
      </c>
      <c r="E34" s="6">
        <v>25.6</v>
      </c>
      <c r="F34" s="6">
        <f t="shared" ref="F34:F39" si="3">E34-$D$6</f>
        <v>0.60000000000000142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6" si="4">E34</f>
        <v>25.6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46066</v>
      </c>
      <c r="C35" s="48" t="s">
        <v>46</v>
      </c>
      <c r="D35" s="14" t="s">
        <v>49</v>
      </c>
      <c r="E35" s="6">
        <v>24.8</v>
      </c>
      <c r="F35" s="6">
        <f t="shared" si="3"/>
        <v>-0.19999999999999929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24.8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46066</v>
      </c>
      <c r="C36" s="48" t="s">
        <v>46</v>
      </c>
      <c r="D36" s="14">
        <v>0.125</v>
      </c>
      <c r="E36" s="6">
        <v>25.8</v>
      </c>
      <c r="F36" s="6">
        <f t="shared" si="3"/>
        <v>0.80000000000000071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25.8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46067</v>
      </c>
      <c r="C37" s="48" t="s">
        <v>47</v>
      </c>
      <c r="D37" s="14">
        <v>0.95833333333333337</v>
      </c>
      <c r="E37" s="6">
        <v>24.8</v>
      </c>
      <c r="F37" s="6">
        <f t="shared" si="3"/>
        <v>-0.19999999999999929</v>
      </c>
      <c r="G37" s="10" t="s">
        <v>4</v>
      </c>
      <c r="H37" s="7" t="s">
        <v>10</v>
      </c>
      <c r="J37" s="2">
        <f>A37</f>
        <v>27</v>
      </c>
      <c r="K37" s="11">
        <v>25</v>
      </c>
      <c r="L37" s="11">
        <f>E37</f>
        <v>24.8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46067</v>
      </c>
      <c r="C38" s="48" t="s">
        <v>47</v>
      </c>
      <c r="D38" s="14">
        <v>0.125</v>
      </c>
      <c r="E38" s="6">
        <v>26.4</v>
      </c>
      <c r="F38" s="6">
        <f t="shared" si="3"/>
        <v>1.3999999999999986</v>
      </c>
      <c r="G38" s="10" t="s">
        <v>4</v>
      </c>
      <c r="H38" s="7" t="s">
        <v>10</v>
      </c>
      <c r="J38" s="2">
        <f>A38</f>
        <v>28</v>
      </c>
      <c r="K38" s="11">
        <v>25</v>
      </c>
      <c r="L38" s="11">
        <f>E38</f>
        <v>26.4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46068</v>
      </c>
      <c r="C39" s="48" t="s">
        <v>48</v>
      </c>
      <c r="D39" s="14">
        <v>0.95833333333333337</v>
      </c>
      <c r="E39" s="6">
        <v>24.3</v>
      </c>
      <c r="F39" s="13">
        <f t="shared" si="3"/>
        <v>-0.69999999999999929</v>
      </c>
      <c r="G39" s="10" t="s">
        <v>4</v>
      </c>
      <c r="H39" s="7" t="s">
        <v>10</v>
      </c>
      <c r="J39" s="2">
        <f>A39</f>
        <v>29</v>
      </c>
      <c r="K39" s="11"/>
      <c r="L39" s="11">
        <f>E39</f>
        <v>24.3</v>
      </c>
      <c r="M39" s="11"/>
      <c r="N39" s="11"/>
      <c r="O39" s="11"/>
      <c r="P39" s="11"/>
    </row>
    <row r="40" spans="1:16" ht="20.149999999999999" customHeight="1" x14ac:dyDescent="0.45">
      <c r="A40" s="5">
        <v>30</v>
      </c>
      <c r="B40" s="4">
        <v>46068</v>
      </c>
      <c r="C40" s="48" t="s">
        <v>48</v>
      </c>
      <c r="D40" s="14">
        <v>0.125</v>
      </c>
      <c r="E40" s="6">
        <v>25.9</v>
      </c>
      <c r="F40" s="13">
        <f>E40-$D$6</f>
        <v>0.89999999999999858</v>
      </c>
      <c r="G40" s="10" t="s">
        <v>4</v>
      </c>
      <c r="H40" s="7" t="s">
        <v>10</v>
      </c>
      <c r="K40" s="11"/>
      <c r="L40" s="11"/>
      <c r="M40" s="11"/>
      <c r="N40" s="11"/>
      <c r="O40" s="11"/>
      <c r="P40" s="11"/>
    </row>
    <row r="41" spans="1:16" ht="20.149999999999999" customHeight="1" x14ac:dyDescent="0.45">
      <c r="J41" s="2">
        <f>A40</f>
        <v>30</v>
      </c>
      <c r="K41" s="11"/>
      <c r="L41" s="11">
        <f>E40</f>
        <v>25.9</v>
      </c>
      <c r="M41" s="11"/>
      <c r="N41" s="11"/>
      <c r="O41" s="11"/>
      <c r="P41" s="11"/>
    </row>
    <row r="42" spans="1:16" ht="20.149999999999999" customHeight="1" x14ac:dyDescent="0.45">
      <c r="A42" s="4" t="s">
        <v>25</v>
      </c>
      <c r="B42" s="12">
        <f>AVERAGE(E11:E40)</f>
        <v>24.209999999999994</v>
      </c>
      <c r="C42" s="4" t="s">
        <v>26</v>
      </c>
      <c r="D42" s="13">
        <v>26.4</v>
      </c>
      <c r="E42" s="6" t="s">
        <v>27</v>
      </c>
      <c r="F42" s="13">
        <v>22.2</v>
      </c>
      <c r="G42" s="10" t="s">
        <v>4</v>
      </c>
      <c r="H42" s="7" t="s">
        <v>10</v>
      </c>
    </row>
    <row r="43" spans="1:16" ht="20.149999999999999" customHeight="1" x14ac:dyDescent="0.45">
      <c r="A43" s="40"/>
      <c r="B43" s="41"/>
      <c r="C43" s="41"/>
      <c r="D43" s="41"/>
      <c r="H43" s="41"/>
    </row>
    <row r="44" spans="1:16" ht="20.149999999999999" customHeight="1" x14ac:dyDescent="0.45">
      <c r="K44" s="11"/>
      <c r="L44" s="11"/>
      <c r="M44" s="11"/>
      <c r="N44" s="11"/>
      <c r="O44" s="11"/>
      <c r="P44" s="11"/>
    </row>
    <row r="45" spans="1:16" ht="20" customHeight="1" x14ac:dyDescent="0.45"/>
    <row r="46" spans="1:16" ht="17" customHeight="1" x14ac:dyDescent="0.45">
      <c r="A46" s="2" t="s">
        <v>38</v>
      </c>
      <c r="B46" s="42"/>
      <c r="C46" s="43"/>
      <c r="D46" s="43"/>
      <c r="E46" s="41"/>
      <c r="F46" s="44" t="s">
        <v>36</v>
      </c>
      <c r="H46" s="45" t="s">
        <v>37</v>
      </c>
    </row>
    <row r="49" spans="1:8" x14ac:dyDescent="0.45">
      <c r="A49" s="2" t="s">
        <v>39</v>
      </c>
      <c r="B49" s="46"/>
      <c r="C49" s="46"/>
      <c r="D49" s="46"/>
      <c r="F49" s="44" t="s">
        <v>36</v>
      </c>
      <c r="H49" s="45" t="s">
        <v>37</v>
      </c>
    </row>
    <row r="51" spans="1:8" ht="26.5" customHeight="1" x14ac:dyDescent="0.45"/>
    <row r="52" spans="1:8" ht="29" customHeight="1" x14ac:dyDescent="0.45"/>
    <row r="53" spans="1:8" ht="19.5" customHeight="1" x14ac:dyDescent="0.45"/>
    <row r="54" spans="1:8" x14ac:dyDescent="0.45">
      <c r="A54"/>
      <c r="B54"/>
      <c r="C54"/>
      <c r="D54"/>
      <c r="E54"/>
      <c r="F54"/>
      <c r="G54"/>
      <c r="H54"/>
    </row>
    <row r="55" spans="1:8" ht="2.25" customHeight="1" x14ac:dyDescent="0.45">
      <c r="A55" s="15"/>
      <c r="B55" s="16"/>
      <c r="C55" s="16"/>
      <c r="D55" s="17"/>
      <c r="E55" s="16"/>
      <c r="F55" s="17"/>
      <c r="G55" s="18"/>
      <c r="H55" s="19"/>
    </row>
    <row r="56" spans="1:8" customFormat="1" hidden="1" x14ac:dyDescent="0.45">
      <c r="A56" s="2"/>
      <c r="B56" s="2"/>
      <c r="C56" s="2"/>
      <c r="D56" s="2"/>
      <c r="E56" s="2"/>
      <c r="F56" s="2"/>
      <c r="G56" s="2"/>
      <c r="H56" s="2"/>
    </row>
    <row r="57" spans="1:8" customFormat="1" x14ac:dyDescent="0.45">
      <c r="A57" s="2"/>
      <c r="B57" s="2"/>
      <c r="C57" s="2"/>
      <c r="D57" s="2"/>
      <c r="E57" s="2"/>
      <c r="F57" s="2"/>
      <c r="G57" s="2"/>
      <c r="H57" s="2"/>
    </row>
  </sheetData>
  <mergeCells count="2">
    <mergeCell ref="A1:B3"/>
    <mergeCell ref="C1:F2"/>
  </mergeCells>
  <printOptions horizontalCentered="1" verticalCentered="1"/>
  <pageMargins left="0.83611111111111114" right="0.7" top="0.31568627450980391" bottom="0.75" header="0.3" footer="0.3"/>
  <pageSetup paperSize="9" scale="59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2026-06-22T04:35:02Z</cp:lastPrinted>
  <dcterms:created xsi:type="dcterms:W3CDTF">2019-12-19T05:48:48Z</dcterms:created>
  <dcterms:modified xsi:type="dcterms:W3CDTF">2026-06-22T04:35:05Z</dcterms:modified>
</cp:coreProperties>
</file>