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rch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6" l="1"/>
  <c r="F16" i="6"/>
  <c r="J28" i="6"/>
  <c r="J27" i="6"/>
  <c r="B30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F22" i="6"/>
  <c r="L20" i="6"/>
  <c r="F21" i="6"/>
  <c r="L19" i="6"/>
  <c r="F13" i="6" l="1"/>
  <c r="L13" i="6"/>
  <c r="F14" i="6"/>
  <c r="L14" i="6"/>
  <c r="F17" i="6"/>
  <c r="L15" i="6"/>
  <c r="F18" i="6"/>
  <c r="L16" i="6"/>
  <c r="F19" i="6"/>
  <c r="L17" i="6"/>
  <c r="F20" i="6"/>
  <c r="L18" i="6"/>
  <c r="F23" i="6"/>
  <c r="L21" i="6"/>
  <c r="F24" i="6"/>
  <c r="L22" i="6"/>
  <c r="F25" i="6"/>
  <c r="L23" i="6"/>
  <c r="F26" i="6"/>
  <c r="L24" i="6"/>
  <c r="F27" i="6"/>
  <c r="L25" i="6"/>
  <c r="F28" i="6"/>
  <c r="L26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<sst xmlns="http://schemas.openxmlformats.org/spreadsheetml/2006/main" count="99" uniqueCount="51">
  <si>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</si>
  <si>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</si>
  <si>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</si>
  <si>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</si>
  <si>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</si>
  <si>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</si>
  <si>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</si>
  <si>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</si>
  <si>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</si>
  <si>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</si>
  <si>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</si>
  <si>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</si>
  <si>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</si>
  <si>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</si>
  <si>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</si>
  <si>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</si>
  <si>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</si>
  <si>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</si>
  <si>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</si>
  <si>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</si>
  <si>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</si>
  <si>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</si>
  <si>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</si>
  <si>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</si>
  <si>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</si>
  <si>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</si>
  <si>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</si>
  <si>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</si>
  <si>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</si>
  <si>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</si>
  <si>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</si>
  <si>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</si>
  <si>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</si>
  <si>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</si>
  <si>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</si>
  <si>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</si>
  <si>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</si>
  <si>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</si>
  <si>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</si>
  <si>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</si>
  <si>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</si>
  <si>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</si>
  <si>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</si>
  <si>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Friday</t>
  </si>
  <si>
    <t>Saturday</t>
  </si>
  <si>
    <t>Sunday</t>
  </si>
  <si>
    <t>Monday</t>
  </si>
  <si>
    <t>VAN/QC/EQP-001</t>
  </si>
  <si>
    <t>Thrusday</t>
  </si>
  <si>
    <t>March-2026 (second Half) Night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</si>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</sst>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Hall-Sep-1'!$K$11:$K$36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Hall-Sep-1'!$L$11:$L$36</c:f>
              <c:numCache>
                <c:formatCode>0.0</c:formatCode>
                <c:ptCount val="26"/>
                <c:pt idx="0">
                  <c:v>23.3</c:v>
                </c:pt>
                <c:pt idx="1">
                  <c:v>22.1</c:v>
                </c:pt>
                <c:pt idx="2">
                  <c:v>23.5</c:v>
                </c:pt>
                <c:pt idx="3">
                  <c:v>22</c:v>
                </c:pt>
                <c:pt idx="4">
                  <c:v>23.5</c:v>
                </c:pt>
                <c:pt idx="5">
                  <c:v>22.2</c:v>
                </c:pt>
                <c:pt idx="6">
                  <c:v>23.3</c:v>
                </c:pt>
                <c:pt idx="7">
                  <c:v>22.4</c:v>
                </c:pt>
                <c:pt idx="8">
                  <c:v>23.1</c:v>
                </c:pt>
                <c:pt idx="9">
                  <c:v>21.9</c:v>
                </c:pt>
                <c:pt idx="10">
                  <c:v>23.2</c:v>
                </c:pt>
                <c:pt idx="11">
                  <c:v>22.2</c:v>
                </c:pt>
                <c:pt idx="12">
                  <c:v>22.9</c:v>
                </c:pt>
                <c:pt idx="13">
                  <c:v>21.7</c:v>
                </c:pt>
                <c:pt idx="14">
                  <c:v>23.5</c:v>
                </c:pt>
                <c:pt idx="15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Hall-Sep-1'!$M$11:$M$36</c:f>
              <c:numCache>
                <c:formatCode>0.0</c:formatCode>
                <c:ptCount val="2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Hall-Sep-1'!$N$11:$N$36</c:f>
              <c:numCache>
                <c:formatCode>0.0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Hall-Sep-1'!$O$11:$O$36</c:f>
              <c:numCache>
                <c:formatCode>0.0</c:formatCode>
                <c:ptCount val="2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Hall-Sep-1'!$P$11:$P$36</c:f>
              <c:numCache>
                <c:formatCode>0.0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8" zoomScale="80" zoomScaleNormal="100" zoomScaleSheetLayoutView="100" zoomScalePageLayoutView="80" workbookViewId="0">
      <selection activeCell="G14" sqref="G14:G16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49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47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46097</v>
      </c>
      <c r="C11" s="4" t="s">
        <v>46</v>
      </c>
      <c r="D11" s="15">
        <v>0.95833333333333337</v>
      </c>
      <c r="E11" s="6">
        <v>23.3</v>
      </c>
      <c r="F11" s="6">
        <f>E11-D6</f>
        <v>-1.6999999999999993</v>
      </c>
      <c r="G11" s="10" t="s">
        <v>4</v>
      </c>
      <c r="H11" s="7" t="s">
        <v>10</v>
      </c>
      <c r="J11" s="2">
        <f t="shared" ref="J11:J14" si="0">A11</f>
        <v>1</v>
      </c>
      <c r="K11" s="11">
        <v>25</v>
      </c>
      <c r="L11" s="11">
        <f>E11</f>
        <v>23.3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46097</v>
      </c>
      <c r="C12" s="4" t="s">
        <v>46</v>
      </c>
      <c r="D12" s="15">
        <v>0.125</v>
      </c>
      <c r="E12" s="6">
        <v>22.1</v>
      </c>
      <c r="F12" s="6">
        <f t="shared" ref="F12:F24" si="1">E12-$D$6</f>
        <v>-2.8999999999999986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14" si="2">E12</f>
        <v>22.1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46098</v>
      </c>
      <c r="C13" s="4" t="s">
        <v>42</v>
      </c>
      <c r="D13" s="15">
        <v>0.95833333333333337</v>
      </c>
      <c r="E13" s="6">
        <v>23.5</v>
      </c>
      <c r="F13" s="6">
        <f t="shared" si="1"/>
        <v>-1.5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23.5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46098</v>
      </c>
      <c r="C14" s="4" t="s">
        <v>42</v>
      </c>
      <c r="D14" s="15">
        <v>0.125</v>
      </c>
      <c r="E14" s="6">
        <v>22</v>
      </c>
      <c r="F14" s="6">
        <f t="shared" si="1"/>
        <v>-3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9</v>
      </c>
      <c r="B15" s="4">
        <v>46106</v>
      </c>
      <c r="C15" s="42" t="s">
        <v>50</v>
      </c>
      <c r="D15" s="15">
        <v>0.95833333333333337</v>
      </c>
      <c r="E15" s="42">
        <v>23</v>
      </c>
      <c r="F15" s="6">
        <f t="shared" si="1"/>
        <v>-2</v>
      </c>
      <c r="G15" s="10" t="s">
        <v>4</v>
      </c>
      <c r="H15" s="7" t="s">
        <v>10</v>
      </c>
      <c r="J15" s="2">
        <f t="shared" ref="J15:J28" si="3">A15</f>
        <v>9</v>
      </c>
      <c r="K15" s="11">
        <v>25</v>
      </c>
      <c r="L15" s="11">
        <f>E17</f>
        <v>23.5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10</v>
      </c>
      <c r="B16" s="4">
        <v>46106</v>
      </c>
      <c r="C16" s="42" t="s">
        <v>50</v>
      </c>
      <c r="D16" s="15">
        <v>0.125</v>
      </c>
      <c r="E16" s="42">
        <v>22.2</v>
      </c>
      <c r="F16" s="6">
        <f t="shared" si="1"/>
        <v>-2.8000000000000007</v>
      </c>
      <c r="G16" s="10" t="s">
        <v>4</v>
      </c>
      <c r="H16" s="7" t="s">
        <v>10</v>
      </c>
      <c r="J16" s="2">
        <f t="shared" si="3"/>
        <v>10</v>
      </c>
      <c r="K16" s="11">
        <v>25</v>
      </c>
      <c r="L16" s="11">
        <f>E18</f>
        <v>22.2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11</v>
      </c>
      <c r="B17" s="4">
        <v>46107</v>
      </c>
      <c r="C17" s="48" t="s">
        <v>48</v>
      </c>
      <c r="D17" s="15">
        <v>0.95833333333333337</v>
      </c>
      <c r="E17" s="6">
        <v>23.5</v>
      </c>
      <c r="F17" s="6">
        <f>E17-$D$6</f>
        <v>-1.5</v>
      </c>
      <c r="G17" s="10" t="s">
        <v>4</v>
      </c>
      <c r="H17" s="7" t="s">
        <v>10</v>
      </c>
      <c r="J17" s="2">
        <f t="shared" si="3"/>
        <v>11</v>
      </c>
      <c r="K17" s="11">
        <v>25</v>
      </c>
      <c r="L17" s="11">
        <f>E19</f>
        <v>23.3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12</v>
      </c>
      <c r="B18" s="4">
        <v>46107</v>
      </c>
      <c r="C18" s="48" t="s">
        <v>48</v>
      </c>
      <c r="D18" s="15">
        <v>0.125</v>
      </c>
      <c r="E18" s="6">
        <v>22.2</v>
      </c>
      <c r="F18" s="6">
        <f>E18-$D$6</f>
        <v>-2.8000000000000007</v>
      </c>
      <c r="G18" s="10" t="s">
        <v>4</v>
      </c>
      <c r="H18" s="7" t="s">
        <v>10</v>
      </c>
      <c r="J18" s="2">
        <f t="shared" si="3"/>
        <v>12</v>
      </c>
      <c r="K18" s="11">
        <v>25</v>
      </c>
      <c r="L18" s="11">
        <f>E20</f>
        <v>22.4</v>
      </c>
      <c r="M18" s="11">
        <v>20</v>
      </c>
      <c r="N18" s="11">
        <v>30</v>
      </c>
      <c r="O18" s="11">
        <v>15</v>
      </c>
      <c r="P18" s="11">
        <v>35</v>
      </c>
    </row>
    <row r="19" spans="1:16" ht="19.5" customHeight="1" x14ac:dyDescent="0.45">
      <c r="A19" s="5">
        <v>13</v>
      </c>
      <c r="B19" s="4">
        <v>46108</v>
      </c>
      <c r="C19" s="4" t="s">
        <v>43</v>
      </c>
      <c r="D19" s="15">
        <v>0.95833333333333337</v>
      </c>
      <c r="E19" s="6">
        <v>23.3</v>
      </c>
      <c r="F19" s="6">
        <f>E19-$D$6</f>
        <v>-1.6999999999999993</v>
      </c>
      <c r="G19" s="10" t="s">
        <v>4</v>
      </c>
      <c r="H19" s="7" t="s">
        <v>10</v>
      </c>
      <c r="J19" s="2">
        <f t="shared" si="3"/>
        <v>13</v>
      </c>
      <c r="K19" s="11">
        <v>25</v>
      </c>
      <c r="L19" s="11">
        <f>E21</f>
        <v>23.1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25" customHeight="1" x14ac:dyDescent="0.45">
      <c r="A20" s="5">
        <v>14</v>
      </c>
      <c r="B20" s="4">
        <v>46108</v>
      </c>
      <c r="C20" s="4" t="s">
        <v>43</v>
      </c>
      <c r="D20" s="15">
        <v>0.125</v>
      </c>
      <c r="E20" s="6">
        <v>22.4</v>
      </c>
      <c r="F20" s="6">
        <f>E20-$D$6</f>
        <v>-2.6000000000000014</v>
      </c>
      <c r="G20" s="10" t="s">
        <v>4</v>
      </c>
      <c r="H20" s="7" t="s">
        <v>10</v>
      </c>
      <c r="J20" s="2">
        <f t="shared" si="3"/>
        <v>14</v>
      </c>
      <c r="K20" s="11">
        <v>25</v>
      </c>
      <c r="L20" s="11">
        <f>E22</f>
        <v>21.9</v>
      </c>
      <c r="M20" s="11">
        <v>20</v>
      </c>
      <c r="N20" s="11">
        <v>30</v>
      </c>
      <c r="O20" s="11">
        <v>15</v>
      </c>
      <c r="P20" s="11">
        <v>35</v>
      </c>
    </row>
    <row r="21" spans="1:16" ht="20.25" customHeight="1" x14ac:dyDescent="0.45">
      <c r="A21" s="5">
        <v>15</v>
      </c>
      <c r="B21" s="4">
        <v>46109</v>
      </c>
      <c r="C21" s="4" t="s">
        <v>44</v>
      </c>
      <c r="D21" s="15">
        <v>0.95833333333333337</v>
      </c>
      <c r="E21" s="6">
        <v>23.1</v>
      </c>
      <c r="F21" s="6">
        <f>E21-$D$6</f>
        <v>-1.8999999999999986</v>
      </c>
      <c r="G21" s="10" t="s">
        <v>4</v>
      </c>
      <c r="H21" s="7" t="s">
        <v>10</v>
      </c>
      <c r="J21" s="2">
        <f t="shared" si="3"/>
        <v>15</v>
      </c>
      <c r="K21" s="11">
        <v>25</v>
      </c>
      <c r="L21" s="11">
        <f>E23</f>
        <v>23.2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16</v>
      </c>
      <c r="B22" s="4">
        <v>46109</v>
      </c>
      <c r="C22" s="4" t="s">
        <v>44</v>
      </c>
      <c r="D22" s="15">
        <v>0.125</v>
      </c>
      <c r="E22" s="6">
        <v>21.9</v>
      </c>
      <c r="F22" s="6">
        <f>E22-$D$6</f>
        <v>-3.1000000000000014</v>
      </c>
      <c r="G22" s="10" t="s">
        <v>4</v>
      </c>
      <c r="H22" s="7" t="s">
        <v>10</v>
      </c>
      <c r="J22" s="2">
        <f t="shared" si="3"/>
        <v>16</v>
      </c>
      <c r="K22" s="11">
        <v>25</v>
      </c>
      <c r="L22" s="11">
        <f>E24</f>
        <v>22.2</v>
      </c>
      <c r="M22" s="11">
        <v>20</v>
      </c>
      <c r="N22" s="11">
        <v>30</v>
      </c>
      <c r="O22" s="11">
        <v>15</v>
      </c>
      <c r="P22" s="11">
        <v>35</v>
      </c>
    </row>
    <row r="23" spans="1:16" ht="20.149999999999999" customHeight="1" x14ac:dyDescent="0.45">
      <c r="A23" s="5">
        <v>17</v>
      </c>
      <c r="B23" s="4">
        <v>46110</v>
      </c>
      <c r="C23" s="4" t="s">
        <v>45</v>
      </c>
      <c r="D23" s="15">
        <v>0.95833333333333337</v>
      </c>
      <c r="E23" s="6">
        <v>23.2</v>
      </c>
      <c r="F23" s="6">
        <f>E23-$D$6</f>
        <v>-1.8000000000000007</v>
      </c>
      <c r="G23" s="10" t="s">
        <v>4</v>
      </c>
      <c r="H23" s="7" t="s">
        <v>10</v>
      </c>
      <c r="J23" s="2">
        <f t="shared" si="3"/>
        <v>17</v>
      </c>
      <c r="K23" s="11">
        <v>25</v>
      </c>
      <c r="L23" s="11">
        <f>E25</f>
        <v>22.9</v>
      </c>
      <c r="M23" s="11">
        <v>20</v>
      </c>
      <c r="N23" s="11">
        <v>30</v>
      </c>
      <c r="O23" s="11">
        <v>15</v>
      </c>
      <c r="P23" s="11">
        <v>35</v>
      </c>
    </row>
    <row r="24" spans="1:16" ht="20.149999999999999" customHeight="1" x14ac:dyDescent="0.45">
      <c r="A24" s="5">
        <v>18</v>
      </c>
      <c r="B24" s="4">
        <v>46110</v>
      </c>
      <c r="C24" s="4" t="s">
        <v>45</v>
      </c>
      <c r="D24" s="15">
        <v>0.125</v>
      </c>
      <c r="E24" s="6">
        <v>22.2</v>
      </c>
      <c r="F24" s="6">
        <f>E24-$D$6</f>
        <v>-2.8000000000000007</v>
      </c>
      <c r="G24" s="10" t="s">
        <v>4</v>
      </c>
      <c r="H24" s="7" t="s">
        <v>10</v>
      </c>
      <c r="J24" s="2">
        <f t="shared" si="3"/>
        <v>18</v>
      </c>
      <c r="K24" s="11">
        <v>25</v>
      </c>
      <c r="L24" s="11">
        <f>E26</f>
        <v>21.7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19</v>
      </c>
      <c r="B25" s="4">
        <v>46111</v>
      </c>
      <c r="C25" s="4" t="s">
        <v>46</v>
      </c>
      <c r="D25" s="15">
        <v>0.95833333333333337</v>
      </c>
      <c r="E25" s="6">
        <v>22.9</v>
      </c>
      <c r="F25" s="6">
        <f>E25-$D$6</f>
        <v>-2.1000000000000014</v>
      </c>
      <c r="G25" s="10" t="s">
        <v>4</v>
      </c>
      <c r="H25" s="7" t="s">
        <v>10</v>
      </c>
      <c r="J25" s="2">
        <f t="shared" si="3"/>
        <v>19</v>
      </c>
      <c r="K25" s="11">
        <v>25</v>
      </c>
      <c r="L25" s="11">
        <f>E27</f>
        <v>23.5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20</v>
      </c>
      <c r="B26" s="4">
        <v>46111</v>
      </c>
      <c r="C26" s="4" t="s">
        <v>46</v>
      </c>
      <c r="D26" s="15">
        <v>0.125</v>
      </c>
      <c r="E26" s="6">
        <v>21.7</v>
      </c>
      <c r="F26" s="6">
        <f>E26-$D$6</f>
        <v>-3.3000000000000007</v>
      </c>
      <c r="G26" s="10" t="s">
        <v>4</v>
      </c>
      <c r="H26" s="7" t="s">
        <v>10</v>
      </c>
      <c r="J26" s="2">
        <f t="shared" si="3"/>
        <v>20</v>
      </c>
      <c r="K26" s="11">
        <v>25</v>
      </c>
      <c r="L26" s="11">
        <f>E28</f>
        <v>22.1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21</v>
      </c>
      <c r="B27" s="4">
        <v>46112</v>
      </c>
      <c r="C27" s="4" t="s">
        <v>42</v>
      </c>
      <c r="D27" s="15">
        <v>0.95833333333333337</v>
      </c>
      <c r="E27" s="6">
        <v>23.5</v>
      </c>
      <c r="F27" s="6">
        <f>E27-$D$6</f>
        <v>-1.5</v>
      </c>
      <c r="G27" s="10" t="s">
        <v>4</v>
      </c>
      <c r="H27" s="7"/>
      <c r="J27" s="2">
        <f t="shared" si="3"/>
        <v>21</v>
      </c>
    </row>
    <row r="28" spans="1:16" ht="20.149999999999999" customHeight="1" x14ac:dyDescent="0.45">
      <c r="A28" s="5">
        <v>22</v>
      </c>
      <c r="B28" s="4">
        <v>46112</v>
      </c>
      <c r="C28" s="4" t="s">
        <v>42</v>
      </c>
      <c r="D28" s="15">
        <v>0.125</v>
      </c>
      <c r="E28" s="6">
        <v>22.1</v>
      </c>
      <c r="F28" s="6">
        <f>E28-$D$6</f>
        <v>-2.8999999999999986</v>
      </c>
      <c r="G28" s="10" t="s">
        <v>4</v>
      </c>
      <c r="H28" s="7"/>
      <c r="J28" s="2">
        <f t="shared" si="3"/>
        <v>22</v>
      </c>
    </row>
    <row r="29" spans="1:16" ht="20.149999999999999" customHeight="1" x14ac:dyDescent="0.45">
      <c r="A29" s="5"/>
      <c r="B29" s="4"/>
      <c r="C29" s="42"/>
      <c r="D29" s="15"/>
      <c r="E29" s="6"/>
      <c r="F29" s="14"/>
      <c r="G29" s="10"/>
      <c r="H29" s="7"/>
      <c r="K29" s="11"/>
      <c r="L29" s="11"/>
      <c r="M29" s="11"/>
      <c r="N29" s="11"/>
      <c r="O29" s="11"/>
      <c r="P29" s="11"/>
    </row>
    <row r="30" spans="1:16" ht="20.149999999999999" customHeight="1" x14ac:dyDescent="0.45">
      <c r="A30" s="4" t="s">
        <v>25</v>
      </c>
      <c r="B30" s="13">
        <f>AVERAGE(E11:E28)</f>
        <v>22.672222222222221</v>
      </c>
      <c r="C30" s="4" t="s">
        <v>26</v>
      </c>
      <c r="D30" s="14">
        <v>23.3</v>
      </c>
      <c r="E30" s="6" t="s">
        <v>27</v>
      </c>
      <c r="F30" s="14">
        <v>21.7</v>
      </c>
      <c r="G30" s="10" t="s">
        <v>4</v>
      </c>
      <c r="H30" s="7" t="s">
        <v>10</v>
      </c>
      <c r="K30" s="11"/>
      <c r="L30" s="11"/>
      <c r="M30" s="11"/>
      <c r="N30" s="11"/>
      <c r="O30" s="11"/>
      <c r="P30" s="11"/>
    </row>
    <row r="31" spans="1:16" ht="20.149999999999999" customHeight="1" x14ac:dyDescent="0.45">
      <c r="A31" s="41"/>
      <c r="B31" s="42"/>
      <c r="C31" s="42"/>
      <c r="D31" s="42"/>
      <c r="H31" s="42"/>
      <c r="K31" s="11"/>
      <c r="L31" s="11"/>
      <c r="M31" s="11"/>
      <c r="N31" s="11"/>
      <c r="O31" s="11"/>
      <c r="P31" s="11"/>
    </row>
    <row r="32" spans="1:16" ht="20.149999999999999" customHeight="1" x14ac:dyDescent="0.45">
      <c r="K32" s="11"/>
      <c r="L32" s="11"/>
      <c r="M32" s="11"/>
      <c r="N32" s="11"/>
      <c r="O32" s="11"/>
      <c r="P32" s="11"/>
    </row>
    <row r="33" spans="1:16" ht="20.149999999999999" customHeight="1" x14ac:dyDescent="0.45">
      <c r="A33" s="2" t="s">
        <v>38</v>
      </c>
      <c r="B33" s="43"/>
      <c r="C33" s="44"/>
      <c r="D33" s="44"/>
      <c r="E33" s="42"/>
      <c r="F33" s="45" t="s">
        <v>36</v>
      </c>
      <c r="H33" s="46" t="s">
        <v>37</v>
      </c>
      <c r="K33" s="11"/>
      <c r="L33" s="11"/>
      <c r="M33" s="11"/>
      <c r="N33" s="11"/>
      <c r="O33" s="11"/>
      <c r="P33" s="11"/>
    </row>
    <row r="34" spans="1:16" ht="20.149999999999999" customHeight="1" x14ac:dyDescent="0.45">
      <c r="K34" s="11"/>
      <c r="L34" s="11"/>
      <c r="M34" s="11"/>
      <c r="N34" s="11"/>
      <c r="O34" s="11"/>
      <c r="P34" s="11"/>
    </row>
    <row r="35" spans="1:16" ht="20.149999999999999" customHeight="1" x14ac:dyDescent="0.45">
      <c r="K35" s="11"/>
      <c r="L35" s="11"/>
      <c r="M35" s="11"/>
      <c r="N35" s="11"/>
      <c r="O35" s="11"/>
      <c r="P35" s="11"/>
    </row>
    <row r="36" spans="1:16" ht="20.149999999999999" customHeight="1" x14ac:dyDescent="0.45">
      <c r="A36" s="2" t="s">
        <v>39</v>
      </c>
      <c r="B36" s="47"/>
      <c r="C36" s="47"/>
      <c r="D36" s="47"/>
      <c r="F36" s="45" t="s">
        <v>36</v>
      </c>
      <c r="H36" s="46" t="s">
        <v>37</v>
      </c>
      <c r="K36" s="11"/>
      <c r="L36" s="11"/>
      <c r="M36" s="11"/>
      <c r="N36" s="11"/>
      <c r="O36" s="11"/>
      <c r="P36" s="11"/>
    </row>
    <row r="37" spans="1:16" ht="20.149999999999999" customHeight="1" x14ac:dyDescent="0.45">
      <c r="K37" s="11"/>
      <c r="L37" s="11"/>
      <c r="M37" s="11"/>
      <c r="N37" s="11"/>
      <c r="O37" s="11"/>
      <c r="P37" s="11"/>
    </row>
    <row r="38" spans="1:16" s="12" customFormat="1" ht="20.149999999999999" customHeight="1" x14ac:dyDescent="0.45">
      <c r="A38" s="2"/>
      <c r="B38" s="2"/>
      <c r="C38" s="2"/>
      <c r="D38" s="2"/>
      <c r="E38" s="2"/>
      <c r="F38" s="2"/>
      <c r="G38" s="2"/>
      <c r="H38" s="2"/>
      <c r="J38" s="2"/>
      <c r="K38" s="11"/>
      <c r="L38" s="11"/>
      <c r="M38" s="11"/>
      <c r="N38" s="11"/>
      <c r="O38" s="11"/>
      <c r="P38" s="11"/>
    </row>
    <row r="39" spans="1:16" s="12" customFormat="1" ht="20.149999999999999" customHeight="1" x14ac:dyDescent="0.45">
      <c r="A39" s="2"/>
      <c r="B39" s="2"/>
      <c r="C39" s="2"/>
      <c r="D39" s="2"/>
      <c r="E39" s="2"/>
      <c r="F39" s="2"/>
      <c r="G39" s="2"/>
      <c r="H39" s="2"/>
      <c r="J39" s="2"/>
    </row>
    <row r="40" spans="1:16" s="12" customFormat="1" ht="20.149999999999999" customHeight="1" x14ac:dyDescent="0.45">
      <c r="A40" s="2"/>
      <c r="B40" s="2"/>
      <c r="C40" s="2"/>
      <c r="D40" s="2"/>
      <c r="E40" s="2"/>
      <c r="F40" s="2"/>
      <c r="G40" s="2"/>
      <c r="H40" s="2"/>
      <c r="J40" s="2"/>
    </row>
    <row r="41" spans="1:16" ht="20.149999999999999" customHeight="1" x14ac:dyDescent="0.45">
      <c r="K41" s="11"/>
      <c r="L41" s="11"/>
      <c r="M41" s="11"/>
      <c r="N41" s="11"/>
      <c r="O41" s="11"/>
      <c r="P41" s="11"/>
    </row>
    <row r="42" spans="1:16" ht="20" customHeight="1" x14ac:dyDescent="0.45">
      <c r="A42"/>
      <c r="B42"/>
      <c r="C42"/>
      <c r="D42"/>
      <c r="E42"/>
      <c r="F42"/>
      <c r="G42"/>
      <c r="H42"/>
      <c r="J42" s="2" t="s">
        <v>37</v>
      </c>
    </row>
    <row r="43" spans="1:16" ht="17" customHeight="1" x14ac:dyDescent="0.45">
      <c r="A43" s="16"/>
      <c r="B43" s="17"/>
      <c r="C43" s="17"/>
      <c r="D43" s="18"/>
      <c r="E43" s="17"/>
      <c r="F43" s="18"/>
      <c r="G43" s="19"/>
      <c r="H43" s="20"/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idden="1" x14ac:dyDescent="0.45">
      <c r="A53" s="2"/>
      <c r="B53" s="2"/>
      <c r="C53" s="2"/>
      <c r="D53" s="2"/>
      <c r="E53" s="2"/>
      <c r="F53" s="2"/>
      <c r="G53" s="2"/>
      <c r="H53" s="2"/>
    </row>
    <row r="54" spans="1:8" customFormat="1" x14ac:dyDescent="0.45">
      <c r="A54" s="2"/>
      <c r="B54" s="2"/>
      <c r="C54" s="2"/>
      <c r="D54" s="2"/>
      <c r="E54" s="2"/>
      <c r="F54" s="2"/>
      <c r="G54" s="2"/>
      <c r="H54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39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2026-06-22T07:40:36Z</cp:lastPrinted>
  <dcterms:created xsi:type="dcterms:W3CDTF">2019-12-19T05:48:48Z</dcterms:created>
  <dcterms:modified xsi:type="dcterms:W3CDTF">2026-06-22T07:40:39Z</dcterms:modified>
</cp:coreProperties>
</file>