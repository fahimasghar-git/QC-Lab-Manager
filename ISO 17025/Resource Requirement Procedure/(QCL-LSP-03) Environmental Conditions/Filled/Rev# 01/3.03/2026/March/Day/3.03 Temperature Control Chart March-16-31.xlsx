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6\March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4" i="6" l="1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F24" i="6"/>
  <c r="L24" i="6"/>
  <c r="F23" i="6"/>
  <c r="L23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<sst xmlns="http://schemas.openxmlformats.org/spreadsheetml/2006/main" count="107" uniqueCount="51">
  <si>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</si>
  <si>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</si>
  <si>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</si>
  <si>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</si>
  <si>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</si>
  <si>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</si>
  <si>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</si>
  <si>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</si>
  <si>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</si>
  <si>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</si>
  <si>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</si>
  <si>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</si>
  <si>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</si>
  <si>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</si>
  <si>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</si>
  <si>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</si>
  <si>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</si>
  <si>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</si>
  <si>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</si>
  <si>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</si>
  <si>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</si>
  <si>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</si>
  <si>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</si>
  <si>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</si>
  <si>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</si>
  <si>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</si>
  <si>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</si>
  <si>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</si>
  <si>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</si>
  <si>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</si>
  <si>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</si>
  <si>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</si>
  <si>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</si>
  <si>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</si>
  <si>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</si>
  <si>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</si>
  <si>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</si>
  <si>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</si>
  <si>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</si>
  <si>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</si>
  <si>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</si>
  <si>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</si>
  <si>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</si>
  <si>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</si>
  <si>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Friday</t>
  </si>
  <si>
    <t>Saturday</t>
  </si>
  <si>
    <t>Sunday</t>
  </si>
  <si>
    <t>Monday</t>
  </si>
  <si>
    <t>VAN/QC/EQP-001</t>
  </si>
  <si>
    <t>Thrusday</t>
  </si>
  <si>
    <t>March-2026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</si>
</sst>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25.2</c:v>
                </c:pt>
                <c:pt idx="1">
                  <c:v>26.4</c:v>
                </c:pt>
                <c:pt idx="2">
                  <c:v>25.9</c:v>
                </c:pt>
                <c:pt idx="3">
                  <c:v>26.7</c:v>
                </c:pt>
                <c:pt idx="4">
                  <c:v>24.8</c:v>
                </c:pt>
                <c:pt idx="5">
                  <c:v>25.9</c:v>
                </c:pt>
                <c:pt idx="6">
                  <c:v>24.7</c:v>
                </c:pt>
                <c:pt idx="7">
                  <c:v>26</c:v>
                </c:pt>
                <c:pt idx="8">
                  <c:v>25.3</c:v>
                </c:pt>
                <c:pt idx="9">
                  <c:v>26.4</c:v>
                </c:pt>
                <c:pt idx="10">
                  <c:v>25.6</c:v>
                </c:pt>
                <c:pt idx="11">
                  <c:v>26.7</c:v>
                </c:pt>
                <c:pt idx="12">
                  <c:v>25.2</c:v>
                </c:pt>
                <c:pt idx="13">
                  <c:v>26</c:v>
                </c:pt>
                <c:pt idx="14">
                  <c:v>25.2</c:v>
                </c:pt>
                <c:pt idx="15">
                  <c:v>26.5</c:v>
                </c:pt>
                <c:pt idx="16">
                  <c:v>25.1</c:v>
                </c:pt>
                <c:pt idx="17">
                  <c:v>25.9</c:v>
                </c:pt>
                <c:pt idx="18">
                  <c:v>25.2</c:v>
                </c:pt>
                <c:pt idx="19">
                  <c:v>26.4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0" zoomScale="80" zoomScaleNormal="100" zoomScaleSheetLayoutView="100" zoomScalePageLayoutView="80" workbookViewId="0">
      <selection activeCell="B11" sqref="B11:B30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50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48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46097</v>
      </c>
      <c r="C11" s="4" t="s">
        <v>47</v>
      </c>
      <c r="D11" s="15">
        <v>0.45833333333333331</v>
      </c>
      <c r="E11" s="6">
        <v>25.2</v>
      </c>
      <c r="F11" s="6">
        <f>E11-D6</f>
        <v>0.19999999999999929</v>
      </c>
      <c r="G11" s="10" t="s">
        <v>4</v>
      </c>
      <c r="H11" s="7" t="s">
        <v>10</v>
      </c>
      <c r="J11" s="2">
        <f t="shared" ref="J11:J30" si="0">A11</f>
        <v>1</v>
      </c>
      <c r="K11" s="11">
        <v>25</v>
      </c>
      <c r="L11" s="11">
        <f>E11</f>
        <v>25.2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46097</v>
      </c>
      <c r="C12" s="4" t="s">
        <v>47</v>
      </c>
      <c r="D12" s="15">
        <v>0.625</v>
      </c>
      <c r="E12" s="6">
        <v>26.4</v>
      </c>
      <c r="F12" s="6">
        <f t="shared" ref="F12:F28" si="1">E12-$D$6</f>
        <v>1.3999999999999986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26.4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46098</v>
      </c>
      <c r="C13" s="4" t="s">
        <v>42</v>
      </c>
      <c r="D13" s="15">
        <v>0.45833333333333331</v>
      </c>
      <c r="E13" s="6">
        <v>25.9</v>
      </c>
      <c r="F13" s="6">
        <f t="shared" si="1"/>
        <v>0.89999999999999858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25.9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46098</v>
      </c>
      <c r="C14" s="4" t="s">
        <v>42</v>
      </c>
      <c r="D14" s="15">
        <v>0.625</v>
      </c>
      <c r="E14" s="6">
        <v>26.7</v>
      </c>
      <c r="F14" s="6">
        <f t="shared" si="1"/>
        <v>1.6999999999999993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26.7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46099</v>
      </c>
      <c r="C15" s="4" t="s">
        <v>43</v>
      </c>
      <c r="D15" s="15">
        <v>0.45833333333333331</v>
      </c>
      <c r="E15" s="6">
        <v>24.8</v>
      </c>
      <c r="F15" s="6">
        <f t="shared" si="1"/>
        <v>-0.19999999999999929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24.8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46099</v>
      </c>
      <c r="C16" s="4" t="s">
        <v>43</v>
      </c>
      <c r="D16" s="15">
        <v>0.625</v>
      </c>
      <c r="E16" s="6">
        <v>25.9</v>
      </c>
      <c r="F16" s="6">
        <f t="shared" si="1"/>
        <v>0.89999999999999858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25.9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46106</v>
      </c>
      <c r="C17" s="4" t="s">
        <v>43</v>
      </c>
      <c r="D17" s="15">
        <v>0.45833333333333331</v>
      </c>
      <c r="E17" s="6">
        <v>24.7</v>
      </c>
      <c r="F17" s="6">
        <f t="shared" si="1"/>
        <v>-0.30000000000000071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24.7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46106</v>
      </c>
      <c r="C18" s="4" t="s">
        <v>43</v>
      </c>
      <c r="D18" s="15">
        <v>0.625</v>
      </c>
      <c r="E18" s="6">
        <v>26</v>
      </c>
      <c r="F18" s="6">
        <f t="shared" si="1"/>
        <v>1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26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46107</v>
      </c>
      <c r="C19" s="48" t="s">
        <v>49</v>
      </c>
      <c r="D19" s="15">
        <v>0.45833333333333331</v>
      </c>
      <c r="E19" s="6">
        <v>25.3</v>
      </c>
      <c r="F19" s="6">
        <f t="shared" si="1"/>
        <v>0.30000000000000071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25.3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46107</v>
      </c>
      <c r="C20" s="48" t="s">
        <v>49</v>
      </c>
      <c r="D20" s="15">
        <v>0.625</v>
      </c>
      <c r="E20" s="6">
        <v>26.4</v>
      </c>
      <c r="F20" s="6">
        <f t="shared" si="1"/>
        <v>1.3999999999999986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26.4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46108</v>
      </c>
      <c r="C21" s="4" t="s">
        <v>44</v>
      </c>
      <c r="D21" s="15">
        <v>0.45833333333333331</v>
      </c>
      <c r="E21" s="6">
        <v>25.6</v>
      </c>
      <c r="F21" s="6">
        <f t="shared" si="1"/>
        <v>0.60000000000000142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25.6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46108</v>
      </c>
      <c r="C22" s="4" t="s">
        <v>44</v>
      </c>
      <c r="D22" s="15">
        <v>0.625</v>
      </c>
      <c r="E22" s="6">
        <v>26.7</v>
      </c>
      <c r="F22" s="6">
        <f>E22-$D$6</f>
        <v>1.6999999999999993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26.7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46109</v>
      </c>
      <c r="C23" s="4" t="s">
        <v>45</v>
      </c>
      <c r="D23" s="15">
        <v>0.45833333333333331</v>
      </c>
      <c r="E23" s="6">
        <v>25.2</v>
      </c>
      <c r="F23" s="6">
        <f>E23-$D$6</f>
        <v>0.19999999999999929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25.2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46109</v>
      </c>
      <c r="C24" s="4" t="s">
        <v>45</v>
      </c>
      <c r="D24" s="15">
        <v>0.625</v>
      </c>
      <c r="E24" s="6">
        <v>26</v>
      </c>
      <c r="F24" s="6">
        <f>E24-$D$6</f>
        <v>1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26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46110</v>
      </c>
      <c r="C25" s="4" t="s">
        <v>46</v>
      </c>
      <c r="D25" s="15">
        <v>0.45833333333333331</v>
      </c>
      <c r="E25" s="6">
        <v>25.2</v>
      </c>
      <c r="F25" s="6">
        <f t="shared" si="1"/>
        <v>0.19999999999999929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25.2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46110</v>
      </c>
      <c r="C26" s="4" t="s">
        <v>46</v>
      </c>
      <c r="D26" s="15">
        <v>0.625</v>
      </c>
      <c r="E26" s="6">
        <v>26.5</v>
      </c>
      <c r="F26" s="6">
        <f t="shared" si="1"/>
        <v>1.5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26.5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46111</v>
      </c>
      <c r="C27" s="4" t="s">
        <v>47</v>
      </c>
      <c r="D27" s="15">
        <v>0.45833333333333331</v>
      </c>
      <c r="E27" s="6">
        <v>25.1</v>
      </c>
      <c r="F27" s="6">
        <f t="shared" si="1"/>
        <v>0.10000000000000142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25.1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46111</v>
      </c>
      <c r="C28" s="4" t="s">
        <v>47</v>
      </c>
      <c r="D28" s="15">
        <v>0.625</v>
      </c>
      <c r="E28" s="6">
        <v>25.9</v>
      </c>
      <c r="F28" s="6">
        <f t="shared" si="1"/>
        <v>0.89999999999999858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25.9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46112</v>
      </c>
      <c r="C29" s="4" t="s">
        <v>42</v>
      </c>
      <c r="D29" s="15">
        <v>0.45833333333333331</v>
      </c>
      <c r="E29" s="6">
        <v>25.2</v>
      </c>
      <c r="F29" s="6">
        <f>E29-$D$6</f>
        <v>0.19999999999999929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0" si="3">E29</f>
        <v>25.2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46112</v>
      </c>
      <c r="C30" s="4" t="s">
        <v>42</v>
      </c>
      <c r="D30" s="15">
        <v>0.625</v>
      </c>
      <c r="E30" s="6">
        <v>26.4</v>
      </c>
      <c r="F30" s="6">
        <f>E30-$D$6</f>
        <v>1.3999999999999986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26.4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/>
      <c r="B31" s="4"/>
      <c r="C31" s="4"/>
      <c r="D31" s="15"/>
      <c r="E31" s="6"/>
      <c r="F31" s="6"/>
      <c r="G31" s="10"/>
      <c r="H31" s="7"/>
      <c r="K31" s="11"/>
      <c r="L31" s="11"/>
      <c r="M31" s="11"/>
      <c r="N31" s="11"/>
      <c r="O31" s="11"/>
      <c r="P31" s="11"/>
    </row>
    <row r="32" spans="1:16" ht="20.149999999999999" customHeight="1" x14ac:dyDescent="0.45">
      <c r="A32" s="5"/>
      <c r="B32" s="4"/>
      <c r="C32" s="4"/>
      <c r="D32" s="15"/>
      <c r="E32" s="6"/>
      <c r="F32" s="6"/>
      <c r="G32" s="10"/>
      <c r="H32" s="7"/>
      <c r="K32" s="11"/>
      <c r="L32" s="11"/>
      <c r="M32" s="11"/>
      <c r="N32" s="11"/>
      <c r="O32" s="11"/>
      <c r="P32" s="11"/>
    </row>
    <row r="33" spans="1:16" ht="20.149999999999999" customHeight="1" x14ac:dyDescent="0.45">
      <c r="A33" s="5"/>
      <c r="B33" s="4"/>
      <c r="C33" s="42"/>
      <c r="D33" s="15"/>
      <c r="E33" s="6"/>
      <c r="F33" s="14"/>
      <c r="G33" s="10"/>
      <c r="H33" s="7"/>
      <c r="K33" s="11"/>
      <c r="L33" s="11"/>
      <c r="M33" s="11"/>
      <c r="N33" s="11"/>
      <c r="O33" s="11"/>
      <c r="P33" s="11"/>
    </row>
    <row r="34" spans="1:16" ht="20.149999999999999" customHeight="1" x14ac:dyDescent="0.45">
      <c r="A34" s="4" t="s">
        <v>25</v>
      </c>
      <c r="B34" s="13">
        <f>AVERAGE(E11:E30)</f>
        <v>25.755000000000003</v>
      </c>
      <c r="C34" s="4" t="s">
        <v>26</v>
      </c>
      <c r="D34" s="14">
        <v>26.4</v>
      </c>
      <c r="E34" s="6" t="s">
        <v>27</v>
      </c>
      <c r="F34" s="14">
        <v>24.7</v>
      </c>
      <c r="G34" s="10" t="s">
        <v>4</v>
      </c>
      <c r="H34" s="7" t="s">
        <v>10</v>
      </c>
      <c r="K34" s="11"/>
      <c r="L34" s="11"/>
      <c r="M34" s="11"/>
      <c r="N34" s="11"/>
      <c r="O34" s="11"/>
      <c r="P34" s="11"/>
    </row>
    <row r="35" spans="1:16" ht="20.149999999999999" customHeight="1" x14ac:dyDescent="0.45">
      <c r="A35" s="41"/>
      <c r="B35" s="42"/>
      <c r="C35" s="42"/>
      <c r="D35" s="42"/>
      <c r="H35" s="42"/>
      <c r="K35" s="11"/>
      <c r="L35" s="11"/>
      <c r="M35" s="11"/>
      <c r="N35" s="11"/>
      <c r="O35" s="11"/>
      <c r="P35" s="11"/>
    </row>
    <row r="36" spans="1:16" ht="20.149999999999999" customHeight="1" x14ac:dyDescent="0.45">
      <c r="K36" s="11"/>
      <c r="L36" s="11"/>
      <c r="M36" s="11"/>
      <c r="N36" s="11"/>
      <c r="O36" s="11"/>
      <c r="P36" s="11"/>
    </row>
    <row r="37" spans="1:16" ht="20.149999999999999" customHeight="1" x14ac:dyDescent="0.45">
      <c r="A37" s="2" t="s">
        <v>38</v>
      </c>
      <c r="B37" s="43"/>
      <c r="C37" s="44"/>
      <c r="D37" s="44"/>
      <c r="E37" s="42"/>
      <c r="F37" s="45" t="s">
        <v>36</v>
      </c>
      <c r="H37" s="46" t="s">
        <v>37</v>
      </c>
      <c r="K37" s="11"/>
      <c r="L37" s="11"/>
      <c r="M37" s="11"/>
      <c r="N37" s="11"/>
      <c r="O37" s="11"/>
      <c r="P37" s="11"/>
    </row>
    <row r="38" spans="1:16" ht="20.149999999999999" customHeight="1" x14ac:dyDescent="0.45">
      <c r="K38" s="11"/>
      <c r="L38" s="11"/>
      <c r="M38" s="11"/>
      <c r="N38" s="11"/>
      <c r="O38" s="11"/>
      <c r="P38" s="11"/>
    </row>
    <row r="39" spans="1:16" ht="20.149999999999999" customHeight="1" x14ac:dyDescent="0.45">
      <c r="K39" s="11"/>
      <c r="L39" s="11"/>
      <c r="M39" s="11"/>
      <c r="N39" s="11"/>
      <c r="O39" s="11"/>
      <c r="P39" s="11"/>
    </row>
    <row r="40" spans="1:16" s="12" customFormat="1" ht="20.149999999999999" customHeight="1" x14ac:dyDescent="0.45">
      <c r="A40" s="2" t="s">
        <v>39</v>
      </c>
      <c r="B40" s="47"/>
      <c r="C40" s="47"/>
      <c r="D40" s="47"/>
      <c r="E40" s="2"/>
      <c r="F40" s="45" t="s">
        <v>36</v>
      </c>
      <c r="G40" s="2"/>
      <c r="H40" s="46" t="s">
        <v>37</v>
      </c>
      <c r="J40" s="2"/>
      <c r="K40" s="11"/>
      <c r="L40" s="11"/>
      <c r="M40" s="11"/>
      <c r="N40" s="11"/>
      <c r="O40" s="11"/>
      <c r="P40" s="11"/>
    </row>
    <row r="41" spans="1:16" s="12" customFormat="1" ht="20.149999999999999" customHeight="1" x14ac:dyDescent="0.45">
      <c r="A41" s="2"/>
      <c r="B41" s="2"/>
      <c r="C41" s="2"/>
      <c r="D41" s="2"/>
      <c r="E41" s="2"/>
      <c r="F41" s="2"/>
      <c r="G41" s="2"/>
      <c r="H41" s="2"/>
      <c r="J41" s="2"/>
    </row>
    <row r="42" spans="1:16" s="12" customFormat="1" ht="20.149999999999999" customHeight="1" x14ac:dyDescent="0.45">
      <c r="A42" s="2"/>
      <c r="B42" s="2"/>
      <c r="C42" s="2"/>
      <c r="D42" s="2"/>
      <c r="E42" s="2"/>
      <c r="F42" s="2"/>
      <c r="G42" s="2"/>
      <c r="H42" s="2"/>
      <c r="J42" s="2"/>
    </row>
    <row r="43" spans="1:16" ht="20.149999999999999" customHeight="1" x14ac:dyDescent="0.45">
      <c r="K43" s="11"/>
      <c r="L43" s="11"/>
      <c r="M43" s="11"/>
      <c r="N43" s="11"/>
      <c r="O43" s="11"/>
      <c r="P43" s="11"/>
    </row>
    <row r="44" spans="1:16" ht="20" customHeight="1" x14ac:dyDescent="0.45">
      <c r="J44" s="2" t="s">
        <v>37</v>
      </c>
    </row>
    <row r="45" spans="1:16" ht="17" customHeight="1" x14ac:dyDescent="0.45"/>
    <row r="46" spans="1:16" x14ac:dyDescent="0.45">
      <c r="A46"/>
      <c r="B46"/>
      <c r="C46"/>
      <c r="D46"/>
      <c r="E46"/>
      <c r="F46"/>
      <c r="G46"/>
      <c r="H46"/>
    </row>
    <row r="47" spans="1:16" x14ac:dyDescent="0.45">
      <c r="A47" s="16"/>
      <c r="B47" s="17"/>
      <c r="C47" s="17"/>
      <c r="D47" s="18"/>
      <c r="E47" s="17"/>
      <c r="F47" s="18"/>
      <c r="G47" s="19"/>
      <c r="H47" s="20"/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idden="1" x14ac:dyDescent="0.45">
      <c r="A55" s="2"/>
      <c r="B55" s="2"/>
      <c r="C55" s="2"/>
      <c r="D55" s="2"/>
      <c r="E55" s="2"/>
      <c r="F55" s="2"/>
      <c r="G55" s="2"/>
      <c r="H55" s="2"/>
    </row>
    <row r="56" spans="1:8" customFormat="1" x14ac:dyDescent="0.45">
      <c r="A56" s="2"/>
      <c r="B56" s="2"/>
      <c r="C56" s="2"/>
      <c r="D56" s="2"/>
      <c r="E56" s="2"/>
      <c r="F56" s="2"/>
      <c r="G56" s="2"/>
      <c r="H56" s="2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61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2026-06-22T06:32:34Z</cp:lastPrinted>
  <dcterms:created xsi:type="dcterms:W3CDTF">2019-12-19T05:48:48Z</dcterms:created>
  <dcterms:modified xsi:type="dcterms:W3CDTF">2026-06-22T06:32:39Z</dcterms:modified>
</cp:coreProperties>
</file>