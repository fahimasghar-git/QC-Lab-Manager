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une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6" l="1"/>
  <c r="J33" i="6"/>
  <c r="J34" i="6"/>
  <c r="J35" i="6"/>
  <c r="J36" i="6"/>
  <c r="J37" i="6"/>
  <c r="J38" i="6"/>
  <c r="J39" i="6"/>
  <c r="J40" i="6"/>
  <c r="J32" i="6"/>
  <c r="F40" i="6"/>
  <c r="L40" i="6"/>
  <c r="F39" i="6"/>
  <c r="L39" i="6"/>
  <c r="F38" i="6"/>
  <c r="L38" i="6"/>
  <c r="F37" i="6"/>
  <c r="L37" i="6"/>
  <c r="F36" i="6"/>
  <c r="L36" i="6"/>
  <c r="F35" i="6"/>
  <c r="L35" i="6"/>
  <c r="F34" i="6"/>
  <c r="L34" i="6"/>
  <c r="F33" i="6"/>
  <c r="L33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<sst xmlns="http://schemas.openxmlformats.org/spreadsheetml/2006/main" count="136" uniqueCount="52">
  <si>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</si>
  <si>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</si>
  <si>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</si>
  <si>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</si>
  <si>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</si>
  <si>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</si>
  <si>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</si>
  <si>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</si>
  <si>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</si>
  <si>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</si>
  <si>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</si>
  <si>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</si>
  <si>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</si>
  <si>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</si>
  <si>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</si>
  <si>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</si>
  <si>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</si>
  <si>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</si>
  <si>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</si>
  <si>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</si>
  <si>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</si>
  <si>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</si>
  <si>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</si>
  <si>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</si>
  <si>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</si>
  <si>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</si>
  <si>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</si>
  <si>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</si>
  <si>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</si>
  <si>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</si>
  <si>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</si>
  <si>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</si>
  <si>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</si>
  <si>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</si>
  <si>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</si>
  <si>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</si>
  <si>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</si>
  <si>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</si>
  <si>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</si>
  <si>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</si>
  <si>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</si>
  <si>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</si>
  <si>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</si>
  <si>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</si>
  <si>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</si>
  <si>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</si>
  <si>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</si>
  <si>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</si>
  <si>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</si>
  <si>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</si>
  <si>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June-2026 (First Half) 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</si>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</sst>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Hall-Sep-1'!$K$11:$K$46</c:f>
              <c:numCache>
                <c:formatCode>0.0</c:formatCode>
                <c:ptCount val="3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Hall-Sep-1'!$L$11:$L$46</c:f>
              <c:numCache>
                <c:formatCode>0.0</c:formatCode>
                <c:ptCount val="36"/>
                <c:pt idx="0">
                  <c:v>25.4</c:v>
                </c:pt>
                <c:pt idx="1">
                  <c:v>25.2</c:v>
                </c:pt>
                <c:pt idx="2">
                  <c:v>24.3</c:v>
                </c:pt>
                <c:pt idx="3">
                  <c:v>24</c:v>
                </c:pt>
                <c:pt idx="4">
                  <c:v>25.1</c:v>
                </c:pt>
                <c:pt idx="5">
                  <c:v>26.7</c:v>
                </c:pt>
                <c:pt idx="6">
                  <c:v>24.7</c:v>
                </c:pt>
                <c:pt idx="7">
                  <c:v>26.1</c:v>
                </c:pt>
                <c:pt idx="8">
                  <c:v>26.3</c:v>
                </c:pt>
                <c:pt idx="9">
                  <c:v>24.5</c:v>
                </c:pt>
                <c:pt idx="10">
                  <c:v>26</c:v>
                </c:pt>
                <c:pt idx="11">
                  <c:v>26.4</c:v>
                </c:pt>
                <c:pt idx="12">
                  <c:v>25.6</c:v>
                </c:pt>
                <c:pt idx="13">
                  <c:v>26</c:v>
                </c:pt>
                <c:pt idx="14">
                  <c:v>25.6</c:v>
                </c:pt>
                <c:pt idx="15">
                  <c:v>25.2</c:v>
                </c:pt>
                <c:pt idx="16">
                  <c:v>24.8</c:v>
                </c:pt>
                <c:pt idx="17">
                  <c:v>24.2</c:v>
                </c:pt>
                <c:pt idx="18">
                  <c:v>24.3</c:v>
                </c:pt>
                <c:pt idx="19">
                  <c:v>25.4</c:v>
                </c:pt>
                <c:pt idx="20">
                  <c:v>25.4</c:v>
                </c:pt>
                <c:pt idx="21">
                  <c:v>25.1</c:v>
                </c:pt>
                <c:pt idx="22">
                  <c:v>26.1</c:v>
                </c:pt>
                <c:pt idx="23">
                  <c:v>26.3</c:v>
                </c:pt>
                <c:pt idx="24">
                  <c:v>25.4</c:v>
                </c:pt>
                <c:pt idx="25">
                  <c:v>25.1</c:v>
                </c:pt>
                <c:pt idx="26">
                  <c:v>26</c:v>
                </c:pt>
                <c:pt idx="27">
                  <c:v>26</c:v>
                </c:pt>
                <c:pt idx="28">
                  <c:v>26.1</c:v>
                </c:pt>
                <c:pt idx="2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Hall-Sep-1'!$M$11:$M$46</c:f>
              <c:numCache>
                <c:formatCode>0.0</c:formatCode>
                <c:ptCount val="3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Hall-Sep-1'!$N$11:$N$46</c:f>
              <c:numCache>
                <c:formatCode>0.0</c:formatCode>
                <c:ptCount val="3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Hall-Sep-1'!$O$11:$O$46</c:f>
              <c:numCache>
                <c:formatCode>0.0</c:formatCode>
                <c:ptCount val="3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Hall-Sep-1'!$P$11:$P$46</c:f>
              <c:numCache>
                <c:formatCode>0.0</c:formatCode>
                <c:ptCount val="3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abSelected="1" topLeftCell="A29" zoomScaleNormal="100" zoomScaleSheetLayoutView="100" zoomScalePageLayoutView="85" workbookViewId="0">
      <selection activeCell="F42" sqref="F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8"/>
      <c r="B1" s="49"/>
      <c r="C1" s="54" t="s">
        <v>1</v>
      </c>
      <c r="D1" s="54"/>
      <c r="E1" s="54"/>
      <c r="F1" s="55"/>
      <c r="G1" s="20" t="s">
        <v>28</v>
      </c>
      <c r="H1" s="21" t="s">
        <v>30</v>
      </c>
    </row>
    <row r="2" spans="1:16" customFormat="1" ht="16.5" customHeight="1" thickTop="1" thickBot="1" x14ac:dyDescent="0.4">
      <c r="A2" s="50"/>
      <c r="B2" s="51"/>
      <c r="C2" s="56"/>
      <c r="D2" s="56"/>
      <c r="E2" s="56"/>
      <c r="F2" s="57"/>
      <c r="G2" s="22" t="s">
        <v>29</v>
      </c>
      <c r="H2" s="23">
        <v>45301</v>
      </c>
    </row>
    <row r="3" spans="1:16" ht="13" customHeight="1" thickTop="1" thickBot="1" x14ac:dyDescent="0.5">
      <c r="A3" s="52"/>
      <c r="B3" s="53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46174</v>
      </c>
      <c r="C11" s="4" t="s">
        <v>48</v>
      </c>
      <c r="D11" s="14">
        <v>0.45833333333333331</v>
      </c>
      <c r="E11" s="6">
        <v>25.4</v>
      </c>
      <c r="F11" s="6">
        <f>E11-D6</f>
        <v>0.39999999999999858</v>
      </c>
      <c r="G11" s="10" t="s">
        <v>4</v>
      </c>
      <c r="H11" s="7" t="s">
        <v>10</v>
      </c>
      <c r="J11" s="2">
        <f t="shared" ref="J11:J40" si="0">A11</f>
        <v>1</v>
      </c>
      <c r="K11" s="11">
        <v>25</v>
      </c>
      <c r="L11" s="11">
        <f>E11</f>
        <v>25.4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46174</v>
      </c>
      <c r="C12" s="4" t="s">
        <v>48</v>
      </c>
      <c r="D12" s="14">
        <v>0.625</v>
      </c>
      <c r="E12" s="6">
        <v>25.2</v>
      </c>
      <c r="F12" s="6">
        <f t="shared" ref="F12:F40" si="1">E12-$D$6</f>
        <v>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40" si="2">E12</f>
        <v>25.2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46175</v>
      </c>
      <c r="C13" s="4" t="s">
        <v>42</v>
      </c>
      <c r="D13" s="14">
        <v>0.45833333333333331</v>
      </c>
      <c r="E13" s="6">
        <v>24.3</v>
      </c>
      <c r="F13" s="6">
        <f t="shared" si="1"/>
        <v>-0.69999999999999929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46175</v>
      </c>
      <c r="C14" s="4" t="s">
        <v>42</v>
      </c>
      <c r="D14" s="14">
        <v>0.625</v>
      </c>
      <c r="E14" s="6">
        <v>24</v>
      </c>
      <c r="F14" s="6">
        <f t="shared" si="1"/>
        <v>-1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46176</v>
      </c>
      <c r="C15" s="4" t="s">
        <v>43</v>
      </c>
      <c r="D15" s="14">
        <v>0.45833333333333331</v>
      </c>
      <c r="E15" s="6">
        <v>25.1</v>
      </c>
      <c r="F15" s="6">
        <f t="shared" si="1"/>
        <v>0.10000000000000142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25.1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46176</v>
      </c>
      <c r="C16" s="4" t="s">
        <v>43</v>
      </c>
      <c r="D16" s="14">
        <v>0.625</v>
      </c>
      <c r="E16" s="6">
        <v>26.7</v>
      </c>
      <c r="F16" s="6">
        <f t="shared" si="1"/>
        <v>1.6999999999999993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46177</v>
      </c>
      <c r="C17" s="47" t="s">
        <v>44</v>
      </c>
      <c r="D17" s="14">
        <v>0.45833333333333331</v>
      </c>
      <c r="E17" s="6">
        <v>24.7</v>
      </c>
      <c r="F17" s="6">
        <f t="shared" si="1"/>
        <v>-0.30000000000000071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46177</v>
      </c>
      <c r="C18" s="47" t="s">
        <v>44</v>
      </c>
      <c r="D18" s="14">
        <v>0.625</v>
      </c>
      <c r="E18" s="6">
        <v>26.1</v>
      </c>
      <c r="F18" s="6">
        <f t="shared" si="1"/>
        <v>1.1000000000000014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46178</v>
      </c>
      <c r="C19" s="4" t="s">
        <v>45</v>
      </c>
      <c r="D19" s="14">
        <v>0.45833333333333331</v>
      </c>
      <c r="E19" s="6">
        <v>26.3</v>
      </c>
      <c r="F19" s="6">
        <f t="shared" si="1"/>
        <v>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26.3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46178</v>
      </c>
      <c r="C20" s="4" t="s">
        <v>45</v>
      </c>
      <c r="D20" s="14">
        <v>0.625</v>
      </c>
      <c r="E20" s="6">
        <v>24.5</v>
      </c>
      <c r="F20" s="6">
        <f t="shared" si="1"/>
        <v>-0.5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46179</v>
      </c>
      <c r="C21" s="4" t="s">
        <v>46</v>
      </c>
      <c r="D21" s="14">
        <v>0.45833333333333331</v>
      </c>
      <c r="E21" s="6">
        <v>26</v>
      </c>
      <c r="F21" s="6">
        <f t="shared" si="1"/>
        <v>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46179</v>
      </c>
      <c r="C22" s="4" t="s">
        <v>46</v>
      </c>
      <c r="D22" s="14">
        <v>0.625</v>
      </c>
      <c r="E22" s="6">
        <v>26.4</v>
      </c>
      <c r="F22" s="6">
        <f>E22-$D$6</f>
        <v>1.3999999999999986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46180</v>
      </c>
      <c r="C23" s="41" t="s">
        <v>47</v>
      </c>
      <c r="D23" s="14">
        <v>0.45833333333333331</v>
      </c>
      <c r="E23" s="6">
        <v>25.6</v>
      </c>
      <c r="F23" s="6">
        <f>E23-$D$6</f>
        <v>0.60000000000000142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25.6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46180</v>
      </c>
      <c r="C24" s="41" t="s">
        <v>51</v>
      </c>
      <c r="D24" s="14">
        <v>0.625</v>
      </c>
      <c r="E24" s="6">
        <v>26</v>
      </c>
      <c r="F24" s="6">
        <f>E24-$D$6</f>
        <v>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46181</v>
      </c>
      <c r="C25" s="4" t="s">
        <v>48</v>
      </c>
      <c r="D25" s="14">
        <v>0.45833333333333331</v>
      </c>
      <c r="E25" s="6">
        <v>25.6</v>
      </c>
      <c r="F25" s="6">
        <f t="shared" si="1"/>
        <v>0.60000000000000142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25.6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46181</v>
      </c>
      <c r="C26" s="4" t="s">
        <v>48</v>
      </c>
      <c r="D26" s="14">
        <v>0.625</v>
      </c>
      <c r="E26" s="6">
        <v>25.2</v>
      </c>
      <c r="F26" s="6">
        <f t="shared" si="1"/>
        <v>0.19999999999999929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46182</v>
      </c>
      <c r="C27" s="4" t="s">
        <v>42</v>
      </c>
      <c r="D27" s="14">
        <v>0.45833333333333331</v>
      </c>
      <c r="E27" s="6">
        <v>24.8</v>
      </c>
      <c r="F27" s="6">
        <f t="shared" si="1"/>
        <v>-0.19999999999999929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46182</v>
      </c>
      <c r="C28" s="4" t="s">
        <v>42</v>
      </c>
      <c r="D28" s="14">
        <v>0.625</v>
      </c>
      <c r="E28" s="6">
        <v>24.2</v>
      </c>
      <c r="F28" s="6">
        <f t="shared" si="1"/>
        <v>-0.80000000000000071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46183</v>
      </c>
      <c r="C29" s="4" t="s">
        <v>43</v>
      </c>
      <c r="D29" s="14">
        <v>0.45833333333333331</v>
      </c>
      <c r="E29" s="6">
        <v>24.3</v>
      </c>
      <c r="F29" s="6">
        <f t="shared" si="1"/>
        <v>-0.69999999999999929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46183</v>
      </c>
      <c r="C30" s="4" t="s">
        <v>43</v>
      </c>
      <c r="D30" s="14">
        <v>0.625</v>
      </c>
      <c r="E30" s="6">
        <v>25.4</v>
      </c>
      <c r="F30" s="6">
        <f t="shared" si="1"/>
        <v>0.39999999999999858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46184</v>
      </c>
      <c r="C31" s="47" t="s">
        <v>44</v>
      </c>
      <c r="D31" s="14">
        <v>0.45833333333333331</v>
      </c>
      <c r="E31" s="6">
        <v>25.4</v>
      </c>
      <c r="F31" s="6">
        <f t="shared" si="1"/>
        <v>0.39999999999999858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46184</v>
      </c>
      <c r="C32" s="47" t="s">
        <v>44</v>
      </c>
      <c r="D32" s="14">
        <v>0.625</v>
      </c>
      <c r="E32" s="6">
        <v>25.1</v>
      </c>
      <c r="F32" s="6">
        <f t="shared" si="1"/>
        <v>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46185</v>
      </c>
      <c r="C33" s="4" t="s">
        <v>45</v>
      </c>
      <c r="D33" s="14">
        <v>0.45833333333333331</v>
      </c>
      <c r="E33" s="6">
        <v>26.1</v>
      </c>
      <c r="F33" s="6">
        <f t="shared" si="1"/>
        <v>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26.1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46185</v>
      </c>
      <c r="C34" s="4" t="s">
        <v>45</v>
      </c>
      <c r="D34" s="14">
        <v>0.625</v>
      </c>
      <c r="E34" s="6">
        <v>26.3</v>
      </c>
      <c r="F34" s="13">
        <f t="shared" si="1"/>
        <v>1.3000000000000007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2"/>
        <v>26.3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46186</v>
      </c>
      <c r="C35" s="4" t="s">
        <v>46</v>
      </c>
      <c r="D35" s="14">
        <v>0.45833333333333331</v>
      </c>
      <c r="E35" s="6">
        <v>25.4</v>
      </c>
      <c r="F35" s="13">
        <f t="shared" si="1"/>
        <v>0.39999999999999858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2"/>
        <v>25.4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46186</v>
      </c>
      <c r="C36" s="4" t="s">
        <v>46</v>
      </c>
      <c r="D36" s="14">
        <v>0.625</v>
      </c>
      <c r="E36" s="6">
        <v>25.1</v>
      </c>
      <c r="F36" s="13">
        <f t="shared" si="1"/>
        <v>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2"/>
        <v>25.1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46187</v>
      </c>
      <c r="C37" s="41" t="s">
        <v>47</v>
      </c>
      <c r="D37" s="14">
        <v>0.45833333333333331</v>
      </c>
      <c r="E37" s="6">
        <v>26</v>
      </c>
      <c r="F37" s="13">
        <f t="shared" si="1"/>
        <v>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2"/>
        <v>26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46187</v>
      </c>
      <c r="C38" s="41" t="s">
        <v>51</v>
      </c>
      <c r="D38" s="14">
        <v>0.625</v>
      </c>
      <c r="E38" s="6">
        <v>26</v>
      </c>
      <c r="F38" s="13">
        <f t="shared" si="1"/>
        <v>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2"/>
        <v>26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46188</v>
      </c>
      <c r="C39" s="4" t="s">
        <v>48</v>
      </c>
      <c r="D39" s="14">
        <v>0.45833333333333331</v>
      </c>
      <c r="E39" s="6">
        <v>26.1</v>
      </c>
      <c r="F39" s="13">
        <f t="shared" si="1"/>
        <v>1.1000000000000014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2"/>
        <v>26.1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5">
        <v>30</v>
      </c>
      <c r="B40" s="4">
        <v>46188</v>
      </c>
      <c r="C40" s="4" t="s">
        <v>48</v>
      </c>
      <c r="D40" s="14">
        <v>0.625</v>
      </c>
      <c r="E40" s="6">
        <v>26</v>
      </c>
      <c r="F40" s="13">
        <f t="shared" si="1"/>
        <v>1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2"/>
        <v>26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25.443333333333332</v>
      </c>
      <c r="C41" s="4" t="s">
        <v>26</v>
      </c>
      <c r="D41" s="13">
        <v>26.7</v>
      </c>
      <c r="E41" s="6" t="s">
        <v>27</v>
      </c>
      <c r="F41" s="13">
        <v>24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.149999999999999" customHeight="1" x14ac:dyDescent="0.45">
      <c r="A42" s="40"/>
      <c r="B42" s="41"/>
      <c r="C42" s="41"/>
      <c r="D42" s="41"/>
      <c r="H42" s="41"/>
      <c r="K42" s="11"/>
      <c r="L42" s="11"/>
      <c r="M42" s="11"/>
      <c r="N42" s="11"/>
      <c r="O42" s="11"/>
      <c r="P42" s="11"/>
    </row>
    <row r="43" spans="1:16" ht="20.149999999999999" customHeight="1" x14ac:dyDescent="0.45">
      <c r="K43" s="11"/>
      <c r="L43" s="11"/>
      <c r="M43" s="11"/>
      <c r="N43" s="11"/>
      <c r="O43" s="11"/>
      <c r="P43" s="11"/>
    </row>
    <row r="44" spans="1:16" ht="20.149999999999999" customHeight="1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  <c r="K44" s="11"/>
      <c r="L44" s="11"/>
      <c r="M44" s="11"/>
      <c r="N44" s="11"/>
      <c r="O44" s="11"/>
      <c r="P44" s="11"/>
    </row>
    <row r="45" spans="1:16" ht="20.149999999999999" customHeight="1" x14ac:dyDescent="0.45">
      <c r="K45" s="11"/>
      <c r="L45" s="11"/>
      <c r="M45" s="11"/>
      <c r="N45" s="11"/>
      <c r="O45" s="11"/>
      <c r="P45" s="11"/>
    </row>
    <row r="46" spans="1:16" ht="20.149999999999999" customHeight="1" x14ac:dyDescent="0.45">
      <c r="K46" s="11"/>
      <c r="L46" s="11"/>
      <c r="M46" s="11"/>
      <c r="N46" s="11"/>
      <c r="O46" s="11"/>
      <c r="P46" s="11"/>
    </row>
    <row r="47" spans="1:16" ht="20.149999999999999" customHeight="1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  <c r="K47" s="11"/>
      <c r="L47" s="11"/>
      <c r="M47" s="11"/>
      <c r="N47" s="11"/>
      <c r="O47" s="11"/>
      <c r="P47" s="11"/>
    </row>
    <row r="48" spans="1:16" ht="20.149999999999999" customHeight="1" x14ac:dyDescent="0.45">
      <c r="K48" s="11"/>
      <c r="L48" s="11"/>
      <c r="M48" s="11"/>
      <c r="N48" s="11"/>
      <c r="O48" s="11"/>
      <c r="P48" s="11"/>
    </row>
    <row r="49" spans="1:8" ht="20" customHeight="1" x14ac:dyDescent="0.45"/>
    <row r="50" spans="1:8" ht="17" customHeight="1" x14ac:dyDescent="0.45"/>
    <row r="55" spans="1:8" ht="26.5" customHeight="1" x14ac:dyDescent="0.45"/>
    <row r="56" spans="1:8" ht="29" customHeight="1" x14ac:dyDescent="0.45"/>
    <row r="57" spans="1:8" ht="19.5" customHeight="1" x14ac:dyDescent="0.45"/>
    <row r="59" spans="1:8" ht="2.25" customHeight="1" x14ac:dyDescent="0.45"/>
    <row r="60" spans="1:8" customFormat="1" ht="14.5" hidden="1" x14ac:dyDescent="0.35"/>
    <row r="61" spans="1:8" customFormat="1" x14ac:dyDescent="0.35">
      <c r="A61" s="15"/>
      <c r="B61" s="16"/>
      <c r="C61" s="16"/>
      <c r="D61" s="17"/>
      <c r="E61" s="16"/>
      <c r="F61" s="17"/>
      <c r="G61" s="18"/>
      <c r="H61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5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2026-06-19T05:08:41Z</cp:lastPrinted>
  <dcterms:created xsi:type="dcterms:W3CDTF">2019-12-19T05:48:48Z</dcterms:created>
  <dcterms:modified xsi:type="dcterms:W3CDTF">2026-07-08T17:35:38Z</dcterms:modified>
</cp:coreProperties>
</file>