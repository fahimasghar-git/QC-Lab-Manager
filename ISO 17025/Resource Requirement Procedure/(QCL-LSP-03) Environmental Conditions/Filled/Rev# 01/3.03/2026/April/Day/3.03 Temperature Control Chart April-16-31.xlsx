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April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<sst xmlns="http://schemas.openxmlformats.org/spreadsheetml/2006/main" count="137" uniqueCount="52">
  <si>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</si>
  <si>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</si>
  <si>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</si>
  <si>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</si>
  <si>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</si>
  <si>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</si>
  <si>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</si>
  <si>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</si>
  <si>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</si>
  <si>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</si>
  <si>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</si>
  <si>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</si>
  <si>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</si>
  <si>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</si>
  <si>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</si>
  <si>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</si>
  <si>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</si>
  <si>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</si>
  <si>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</si>
  <si>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</si>
  <si>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</si>
  <si>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</si>
  <si>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</si>
  <si>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</si>
  <si>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</si>
  <si>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</si>
  <si>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</si>
  <si>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</si>
  <si>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</si>
  <si>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</si>
  <si>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</si>
  <si>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</si>
  <si>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</si>
  <si>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</si>
  <si>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</si>
  <si>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</si>
  <si>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</si>
  <si>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</si>
  <si>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</si>
  <si>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</si>
  <si>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</si>
  <si>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</si>
  <si>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</si>
  <si>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</si>
  <si>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</si>
  <si>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</si>
  <si>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</si>
  <si>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</si>
  <si>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</si>
  <si>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</si>
  <si>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</si>
  <si>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April 2026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</si>
</sst>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18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25.9</c:v>
                </c:pt>
                <c:pt idx="1">
                  <c:v>25.4</c:v>
                </c:pt>
                <c:pt idx="2">
                  <c:v>26.4</c:v>
                </c:pt>
                <c:pt idx="3">
                  <c:v>25.2</c:v>
                </c:pt>
                <c:pt idx="4">
                  <c:v>25.7</c:v>
                </c:pt>
                <c:pt idx="5">
                  <c:v>24.9</c:v>
                </c:pt>
                <c:pt idx="6">
                  <c:v>26.3</c:v>
                </c:pt>
                <c:pt idx="7">
                  <c:v>25.4</c:v>
                </c:pt>
                <c:pt idx="8">
                  <c:v>26.5</c:v>
                </c:pt>
                <c:pt idx="9">
                  <c:v>25.7</c:v>
                </c:pt>
                <c:pt idx="10">
                  <c:v>26</c:v>
                </c:pt>
                <c:pt idx="11">
                  <c:v>25.3</c:v>
                </c:pt>
                <c:pt idx="12">
                  <c:v>25.6</c:v>
                </c:pt>
                <c:pt idx="13">
                  <c:v>24.1</c:v>
                </c:pt>
                <c:pt idx="14">
                  <c:v>25</c:v>
                </c:pt>
                <c:pt idx="15">
                  <c:v>23.9</c:v>
                </c:pt>
                <c:pt idx="16">
                  <c:v>25.8</c:v>
                </c:pt>
                <c:pt idx="17">
                  <c:v>24.6</c:v>
                </c:pt>
                <c:pt idx="18">
                  <c:v>25.4</c:v>
                </c:pt>
                <c:pt idx="19">
                  <c:v>24</c:v>
                </c:pt>
                <c:pt idx="20">
                  <c:v>25.7</c:v>
                </c:pt>
                <c:pt idx="21">
                  <c:v>24.7</c:v>
                </c:pt>
                <c:pt idx="22">
                  <c:v>26.2</c:v>
                </c:pt>
                <c:pt idx="23">
                  <c:v>25.1</c:v>
                </c:pt>
                <c:pt idx="24">
                  <c:v>25.3</c:v>
                </c:pt>
                <c:pt idx="25">
                  <c:v>24.9</c:v>
                </c:pt>
                <c:pt idx="26">
                  <c:v>25.2</c:v>
                </c:pt>
                <c:pt idx="27">
                  <c:v>26.8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1" zoomScale="80" zoomScaleNormal="100" zoomScaleSheetLayoutView="100" zoomScalePageLayoutView="80" workbookViewId="0">
      <selection activeCell="G4" sqref="G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46128</v>
      </c>
      <c r="C11" s="4" t="s">
        <v>44</v>
      </c>
      <c r="D11" s="15">
        <v>0.45833333333333331</v>
      </c>
      <c r="E11" s="6">
        <v>25.9</v>
      </c>
      <c r="F11" s="6">
        <f>E11-D6</f>
        <v>0.89999999999999858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25.9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46128</v>
      </c>
      <c r="C12" s="4" t="s">
        <v>44</v>
      </c>
      <c r="D12" s="15">
        <v>0.625</v>
      </c>
      <c r="E12" s="6">
        <v>25.4</v>
      </c>
      <c r="F12" s="6">
        <f t="shared" ref="F12:F28" si="1">E12-$D$6</f>
        <v>0.39999999999999858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46129</v>
      </c>
      <c r="C13" s="4" t="s">
        <v>45</v>
      </c>
      <c r="D13" s="15">
        <v>0.45833333333333331</v>
      </c>
      <c r="E13" s="6">
        <v>26.4</v>
      </c>
      <c r="F13" s="6">
        <f t="shared" si="1"/>
        <v>1.3999999999999986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26.4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46129</v>
      </c>
      <c r="C14" s="4" t="s">
        <v>45</v>
      </c>
      <c r="D14" s="15">
        <v>0.625</v>
      </c>
      <c r="E14" s="6">
        <v>25.2</v>
      </c>
      <c r="F14" s="6">
        <f t="shared" si="1"/>
        <v>0.19999999999999929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46130</v>
      </c>
      <c r="C15" s="4" t="s">
        <v>46</v>
      </c>
      <c r="D15" s="15">
        <v>0.45833333333333331</v>
      </c>
      <c r="E15" s="6">
        <v>25.7</v>
      </c>
      <c r="F15" s="6">
        <f t="shared" si="1"/>
        <v>0.69999999999999929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25.7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46130</v>
      </c>
      <c r="C16" s="4" t="s">
        <v>46</v>
      </c>
      <c r="D16" s="15">
        <v>0.625</v>
      </c>
      <c r="E16" s="6">
        <v>24.9</v>
      </c>
      <c r="F16" s="6">
        <f t="shared" si="1"/>
        <v>-0.10000000000000142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46131</v>
      </c>
      <c r="C17" s="4" t="s">
        <v>47</v>
      </c>
      <c r="D17" s="15">
        <v>0.45833333333333331</v>
      </c>
      <c r="E17" s="6">
        <v>26.3</v>
      </c>
      <c r="F17" s="6">
        <f t="shared" si="1"/>
        <v>1.3000000000000007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26.3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46131</v>
      </c>
      <c r="C18" s="4" t="s">
        <v>47</v>
      </c>
      <c r="D18" s="15">
        <v>0.625</v>
      </c>
      <c r="E18" s="6">
        <v>25.4</v>
      </c>
      <c r="F18" s="6">
        <f t="shared" si="1"/>
        <v>0.39999999999999858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46132</v>
      </c>
      <c r="C19" s="4" t="s">
        <v>48</v>
      </c>
      <c r="D19" s="15">
        <v>0.45833333333333331</v>
      </c>
      <c r="E19" s="6">
        <v>26.5</v>
      </c>
      <c r="F19" s="6">
        <f t="shared" si="1"/>
        <v>1.5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26.5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46132</v>
      </c>
      <c r="C20" s="4" t="s">
        <v>48</v>
      </c>
      <c r="D20" s="15">
        <v>0.625</v>
      </c>
      <c r="E20" s="6">
        <v>25.7</v>
      </c>
      <c r="F20" s="6">
        <f t="shared" si="1"/>
        <v>0.69999999999999929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46133</v>
      </c>
      <c r="C21" s="4" t="s">
        <v>42</v>
      </c>
      <c r="D21" s="15">
        <v>0.45833333333333331</v>
      </c>
      <c r="E21" s="6">
        <v>26</v>
      </c>
      <c r="F21" s="6">
        <f t="shared" si="1"/>
        <v>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46133</v>
      </c>
      <c r="C22" s="4" t="s">
        <v>42</v>
      </c>
      <c r="D22" s="15">
        <v>0.625</v>
      </c>
      <c r="E22" s="6">
        <v>25.3</v>
      </c>
      <c r="F22" s="6">
        <f>E22-$D$6</f>
        <v>0.30000000000000071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25.3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46134</v>
      </c>
      <c r="C23" s="4" t="s">
        <v>43</v>
      </c>
      <c r="D23" s="15">
        <v>0.45833333333333331</v>
      </c>
      <c r="E23" s="6">
        <v>25.6</v>
      </c>
      <c r="F23" s="6">
        <f>E23-$D$6</f>
        <v>0.60000000000000142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25.6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46134</v>
      </c>
      <c r="C24" s="4" t="s">
        <v>43</v>
      </c>
      <c r="D24" s="15">
        <v>0.625</v>
      </c>
      <c r="E24" s="6">
        <v>24.1</v>
      </c>
      <c r="F24" s="6">
        <f>E24-$D$6</f>
        <v>-0.89999999999999858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46135</v>
      </c>
      <c r="C25" s="4" t="s">
        <v>44</v>
      </c>
      <c r="D25" s="15">
        <v>0.45833333333333331</v>
      </c>
      <c r="E25" s="6">
        <v>25</v>
      </c>
      <c r="F25" s="6">
        <f t="shared" si="1"/>
        <v>0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46135</v>
      </c>
      <c r="C26" s="4" t="s">
        <v>44</v>
      </c>
      <c r="D26" s="15">
        <v>0.625</v>
      </c>
      <c r="E26" s="6">
        <v>23.9</v>
      </c>
      <c r="F26" s="6">
        <f t="shared" si="1"/>
        <v>-1.1000000000000014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23.9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46136</v>
      </c>
      <c r="C27" s="4" t="s">
        <v>45</v>
      </c>
      <c r="D27" s="15">
        <v>0.45833333333333331</v>
      </c>
      <c r="E27" s="6">
        <v>25.8</v>
      </c>
      <c r="F27" s="6">
        <f t="shared" si="1"/>
        <v>0.80000000000000071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46136</v>
      </c>
      <c r="C28" s="4" t="s">
        <v>45</v>
      </c>
      <c r="D28" s="15">
        <v>0.625</v>
      </c>
      <c r="E28" s="6">
        <v>24.6</v>
      </c>
      <c r="F28" s="6">
        <f t="shared" si="1"/>
        <v>-0.39999999999999858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24.6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46137</v>
      </c>
      <c r="C29" s="4" t="s">
        <v>46</v>
      </c>
      <c r="D29" s="15">
        <v>0.45833333333333331</v>
      </c>
      <c r="E29" s="6">
        <v>25.4</v>
      </c>
      <c r="F29" s="6">
        <f>E29-$D$6</f>
        <v>0.39999999999999858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25.4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46137</v>
      </c>
      <c r="C30" s="4" t="s">
        <v>46</v>
      </c>
      <c r="D30" s="15">
        <v>0.625</v>
      </c>
      <c r="E30" s="6">
        <v>24</v>
      </c>
      <c r="F30" s="6">
        <f>E30-$D$6</f>
        <v>-1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46138</v>
      </c>
      <c r="C31" s="4" t="s">
        <v>47</v>
      </c>
      <c r="D31" s="15">
        <v>0.45833333333333331</v>
      </c>
      <c r="E31" s="6">
        <v>25.7</v>
      </c>
      <c r="F31" s="6">
        <f>E31-$D$6</f>
        <v>0.69999999999999929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25.7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46138</v>
      </c>
      <c r="C32" s="4" t="s">
        <v>47</v>
      </c>
      <c r="D32" s="15">
        <v>0.625</v>
      </c>
      <c r="E32" s="6">
        <v>24.7</v>
      </c>
      <c r="F32" s="6">
        <f t="shared" ref="F32:F38" si="4">E32-$D$6</f>
        <v>-0.30000000000000071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24.7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46139</v>
      </c>
      <c r="C33" s="4" t="s">
        <v>48</v>
      </c>
      <c r="D33" s="15">
        <v>0.45833333333333331</v>
      </c>
      <c r="E33" s="6">
        <v>26.2</v>
      </c>
      <c r="F33" s="6">
        <f t="shared" si="4"/>
        <v>1.1999999999999993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26.2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46139</v>
      </c>
      <c r="C34" s="4" t="s">
        <v>48</v>
      </c>
      <c r="D34" s="15">
        <v>0.625</v>
      </c>
      <c r="E34" s="6">
        <v>25.1</v>
      </c>
      <c r="F34" s="6">
        <f t="shared" si="4"/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46140</v>
      </c>
      <c r="C35" s="4" t="s">
        <v>42</v>
      </c>
      <c r="D35" s="15" t="s">
        <v>49</v>
      </c>
      <c r="E35" s="6">
        <v>25.3</v>
      </c>
      <c r="F35" s="6">
        <f t="shared" si="4"/>
        <v>0.30000000000000071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25.3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46140</v>
      </c>
      <c r="C36" s="4" t="s">
        <v>42</v>
      </c>
      <c r="D36" s="15">
        <v>0.625</v>
      </c>
      <c r="E36" s="6">
        <v>24.9</v>
      </c>
      <c r="F36" s="6">
        <f t="shared" si="4"/>
        <v>-0.10000000000000142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24.9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46141</v>
      </c>
      <c r="C37" s="4" t="s">
        <v>43</v>
      </c>
      <c r="D37" s="15">
        <v>0.45833333333333331</v>
      </c>
      <c r="E37" s="6">
        <v>25.2</v>
      </c>
      <c r="F37" s="6">
        <f t="shared" si="4"/>
        <v>0.19999999999999929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25.2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46141</v>
      </c>
      <c r="C38" s="4" t="s">
        <v>43</v>
      </c>
      <c r="D38" s="15">
        <v>0.625</v>
      </c>
      <c r="E38" s="6">
        <v>26.8</v>
      </c>
      <c r="F38" s="6">
        <f t="shared" si="4"/>
        <v>1.8000000000000007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26.8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46142</v>
      </c>
      <c r="C39" s="4" t="s">
        <v>44</v>
      </c>
      <c r="D39" s="15">
        <v>0.45833333333333331</v>
      </c>
      <c r="E39" s="6">
        <v>24.8</v>
      </c>
      <c r="F39" s="6">
        <f t="shared" ref="F39:F40" si="5">E39-$D$6</f>
        <v>-0.19999999999999929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46142</v>
      </c>
      <c r="C40" s="4" t="s">
        <v>44</v>
      </c>
      <c r="D40" s="15">
        <v>0.625</v>
      </c>
      <c r="E40" s="6">
        <v>25.9</v>
      </c>
      <c r="F40" s="6">
        <f t="shared" si="5"/>
        <v>0.89999999999999858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14"/>
      <c r="G42" s="10"/>
      <c r="H42" s="7"/>
      <c r="J42" s="2">
        <f t="shared" si="0"/>
        <v>0</v>
      </c>
    </row>
    <row r="43" spans="1:16" s="12" customFormat="1" ht="20.149999999999999" customHeight="1" x14ac:dyDescent="0.45">
      <c r="A43" s="5"/>
      <c r="B43" s="4"/>
      <c r="C43" s="42"/>
      <c r="D43" s="48"/>
      <c r="E43" s="6"/>
      <c r="F43" s="14"/>
      <c r="G43" s="10"/>
      <c r="H43" s="7"/>
      <c r="J43" s="2"/>
    </row>
    <row r="44" spans="1:16" ht="20.149999999999999" customHeight="1" x14ac:dyDescent="0.45">
      <c r="A44" s="4" t="s">
        <v>25</v>
      </c>
      <c r="B44" s="13">
        <f>AVERAGE(E11:E44)</f>
        <v>25.39</v>
      </c>
      <c r="C44" s="4" t="s">
        <v>26</v>
      </c>
      <c r="D44" s="14">
        <v>26.8</v>
      </c>
      <c r="E44" s="6" t="s">
        <v>27</v>
      </c>
      <c r="F44" s="14">
        <v>23.9</v>
      </c>
      <c r="G44" s="10" t="s">
        <v>4</v>
      </c>
      <c r="H44" s="7" t="s">
        <v>10</v>
      </c>
      <c r="K44" s="11"/>
      <c r="L44" s="11"/>
      <c r="M44" s="11"/>
      <c r="N44" s="11"/>
      <c r="O44" s="11"/>
      <c r="P44" s="11"/>
    </row>
    <row r="45" spans="1:16" ht="20" customHeight="1" x14ac:dyDescent="0.45">
      <c r="A45" s="41"/>
      <c r="B45" s="42"/>
      <c r="C45" s="42"/>
      <c r="D45" s="42"/>
      <c r="H45" s="42"/>
      <c r="J45" s="2" t="s">
        <v>37</v>
      </c>
    </row>
    <row r="46" spans="1:16" ht="17" customHeight="1" x14ac:dyDescent="0.45"/>
    <row r="47" spans="1:16" x14ac:dyDescent="0.45">
      <c r="A47" s="2" t="s">
        <v>38</v>
      </c>
      <c r="B47" s="43"/>
      <c r="C47" s="44"/>
      <c r="D47" s="44"/>
      <c r="E47" s="42"/>
      <c r="F47" s="45" t="s">
        <v>36</v>
      </c>
      <c r="H47" s="46" t="s">
        <v>37</v>
      </c>
    </row>
    <row r="50" spans="1:8" x14ac:dyDescent="0.45">
      <c r="A50" s="2" t="s">
        <v>39</v>
      </c>
      <c r="B50" s="47"/>
      <c r="C50" s="47"/>
      <c r="D50" s="47"/>
      <c r="F50" s="45" t="s">
        <v>36</v>
      </c>
      <c r="H50" s="46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5" spans="1:8" ht="2.25" customHeight="1" x14ac:dyDescent="0.45"/>
    <row r="56" spans="1:8" customFormat="1" ht="14.5" hidden="1" x14ac:dyDescent="0.35"/>
    <row r="57" spans="1:8" customFormat="1" x14ac:dyDescent="0.35">
      <c r="A57" s="16"/>
      <c r="B57" s="17"/>
      <c r="C57" s="17"/>
      <c r="D57" s="18"/>
      <c r="E57" s="17"/>
      <c r="F57" s="18"/>
      <c r="G57" s="19"/>
      <c r="H57" s="20"/>
    </row>
  </sheetData>
  <mergeCells count="2">
    <mergeCell ref="A1:B3"/>
    <mergeCell ref="C1:F2"/>
  </mergeCells>
  <printOptions horizontalCentered="1" verticalCentered="1"/>
  <pageMargins left="0.83611111111111114" right="0.7" top="0.33055555555555555" bottom="0.75" header="0.3" footer="0.3"/>
  <pageSetup paperSize="9" scale="58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2026-06-22T06:36:24Z</cp:lastPrinted>
  <dcterms:created xsi:type="dcterms:W3CDTF">2019-12-19T05:48:48Z</dcterms:created>
  <dcterms:modified xsi:type="dcterms:W3CDTF">2026-06-22T06:36:29Z</dcterms:modified>
</cp:coreProperties>
</file>