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Septamber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6" l="1"/>
  <c r="F40" i="6" l="1"/>
  <c r="B44" i="6" l="1"/>
  <c r="L36" i="6" l="1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3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<sst xmlns="http://schemas.openxmlformats.org/spreadsheetml/2006/main" count="137" uniqueCount="51">
  <si>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</si>
  <si>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</si>
  <si>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</si>
  <si>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</si>
  <si>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</si>
  <si>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</si>
  <si>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</si>
  <si>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</si>
  <si>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</si>
  <si>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</si>
  <si>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</si>
  <si>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</si>
  <si>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</si>
  <si>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</si>
  <si>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</si>
  <si>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</si>
  <si>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</si>
  <si>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</si>
  <si>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</si>
  <si>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</si>
  <si>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</si>
  <si>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</si>
  <si>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</si>
  <si>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</si>
  <si>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</si>
  <si>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</si>
  <si>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</si>
  <si>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</si>
  <si>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</si>
  <si>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</si>
  <si>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</si>
  <si>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</si>
  <si>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</si>
  <si>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</si>
  <si>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</si>
  <si>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</si>
  <si>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</si>
  <si>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</si>
  <si>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</si>
  <si>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</si>
  <si>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</si>
  <si>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</si>
  <si>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</si>
  <si>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</si>
  <si>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</si>
  <si>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</si>
  <si>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</si>
  <si>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</si>
  <si>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</si>
  <si>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</si>
  <si>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September-2025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</si>
</sst>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166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4" fontId="8" fillId="0" borderId="16" xfId="0" applyNumberFormat="1" applyFont="1" applyBorder="1" applyAlignment="1">
      <alignment horizontal="left" vertical="center"/>
    </xf>
    <xf numFmtId="14" fontId="8" fillId="0" borderId="17" xfId="0" applyNumberFormat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22.3</c:v>
                </c:pt>
                <c:pt idx="1">
                  <c:v>21.9</c:v>
                </c:pt>
                <c:pt idx="2">
                  <c:v>22.1</c:v>
                </c:pt>
                <c:pt idx="3">
                  <c:v>21.7</c:v>
                </c:pt>
                <c:pt idx="4">
                  <c:v>22</c:v>
                </c:pt>
                <c:pt idx="5">
                  <c:v>21.6</c:v>
                </c:pt>
                <c:pt idx="6">
                  <c:v>22.2</c:v>
                </c:pt>
                <c:pt idx="7">
                  <c:v>21.8</c:v>
                </c:pt>
                <c:pt idx="8">
                  <c:v>22.3</c:v>
                </c:pt>
                <c:pt idx="9">
                  <c:v>21.9</c:v>
                </c:pt>
                <c:pt idx="10">
                  <c:v>22.1</c:v>
                </c:pt>
                <c:pt idx="11">
                  <c:v>21.8</c:v>
                </c:pt>
                <c:pt idx="12">
                  <c:v>22.3</c:v>
                </c:pt>
                <c:pt idx="13">
                  <c:v>21.9</c:v>
                </c:pt>
                <c:pt idx="14">
                  <c:v>22</c:v>
                </c:pt>
                <c:pt idx="15">
                  <c:v>21.7</c:v>
                </c:pt>
                <c:pt idx="16">
                  <c:v>22.2</c:v>
                </c:pt>
                <c:pt idx="17">
                  <c:v>21.6</c:v>
                </c:pt>
                <c:pt idx="18">
                  <c:v>22.4</c:v>
                </c:pt>
                <c:pt idx="19">
                  <c:v>21.8</c:v>
                </c:pt>
                <c:pt idx="20">
                  <c:v>22.3</c:v>
                </c:pt>
                <c:pt idx="21">
                  <c:v>21.9</c:v>
                </c:pt>
                <c:pt idx="22">
                  <c:v>22.1</c:v>
                </c:pt>
                <c:pt idx="23">
                  <c:v>21.7</c:v>
                </c:pt>
                <c:pt idx="24">
                  <c:v>22</c:v>
                </c:pt>
                <c:pt idx="25">
                  <c:v>21.6</c:v>
                </c:pt>
                <c:pt idx="26">
                  <c:v>22.2</c:v>
                </c:pt>
                <c:pt idx="27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0" zoomScale="80" zoomScaleNormal="100" zoomScaleSheetLayoutView="100" zoomScalePageLayoutView="80" workbookViewId="0">
      <selection activeCell="D11" sqref="D11:D40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1" t="s">
        <v>28</v>
      </c>
      <c r="H1" s="22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3" t="s">
        <v>29</v>
      </c>
      <c r="H2" s="24">
        <v>45301</v>
      </c>
    </row>
    <row r="3" spans="1:16" ht="13" customHeight="1" thickTop="1" thickBot="1" x14ac:dyDescent="0.5">
      <c r="A3" s="54"/>
      <c r="B3" s="55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60" t="s">
        <v>50</v>
      </c>
      <c r="H4" s="61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3"/>
      <c r="F5" s="34" t="s">
        <v>12</v>
      </c>
      <c r="G5" s="28" t="s">
        <v>34</v>
      </c>
      <c r="H5" s="32"/>
    </row>
    <row r="6" spans="1:16" ht="14.5" customHeight="1" x14ac:dyDescent="0.45">
      <c r="A6" s="28" t="s">
        <v>31</v>
      </c>
      <c r="B6" s="29"/>
      <c r="C6" s="31"/>
      <c r="D6" s="35">
        <v>25</v>
      </c>
      <c r="E6" s="36"/>
      <c r="F6" s="34" t="s">
        <v>14</v>
      </c>
      <c r="G6" s="39" t="s">
        <v>49</v>
      </c>
      <c r="H6" s="36"/>
    </row>
    <row r="7" spans="1:16" x14ac:dyDescent="0.45">
      <c r="A7" s="28" t="s">
        <v>32</v>
      </c>
      <c r="B7" s="29"/>
      <c r="C7" s="31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8" t="s">
        <v>33</v>
      </c>
      <c r="B8" s="29"/>
      <c r="C8" s="31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45916</v>
      </c>
      <c r="C11" s="4" t="s">
        <v>42</v>
      </c>
      <c r="D11" s="15">
        <v>0.95833333333333337</v>
      </c>
      <c r="E11" s="6">
        <v>22.3</v>
      </c>
      <c r="F11" s="6">
        <f>E11-D6</f>
        <v>-2.6999999999999993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22.3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45916</v>
      </c>
      <c r="C12" s="4" t="s">
        <v>42</v>
      </c>
      <c r="D12" s="15">
        <v>0.125</v>
      </c>
      <c r="E12" s="6">
        <v>21.9</v>
      </c>
      <c r="F12" s="6">
        <f t="shared" ref="F12:F28" si="1">E12-$D$6</f>
        <v>-3.1000000000000014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21.9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45917</v>
      </c>
      <c r="C13" s="4" t="s">
        <v>43</v>
      </c>
      <c r="D13" s="15">
        <v>0.95833333333333337</v>
      </c>
      <c r="E13" s="6">
        <v>22.1</v>
      </c>
      <c r="F13" s="6">
        <f t="shared" si="1"/>
        <v>-2.8999999999999986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22.1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45917</v>
      </c>
      <c r="C14" s="4" t="s">
        <v>43</v>
      </c>
      <c r="D14" s="15">
        <v>0.125</v>
      </c>
      <c r="E14" s="6">
        <v>21.7</v>
      </c>
      <c r="F14" s="6">
        <f t="shared" si="1"/>
        <v>-3.3000000000000007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21.7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45918</v>
      </c>
      <c r="C15" s="4" t="s">
        <v>44</v>
      </c>
      <c r="D15" s="15">
        <v>0.95833333333333337</v>
      </c>
      <c r="E15" s="6">
        <v>22</v>
      </c>
      <c r="F15" s="6">
        <f t="shared" si="1"/>
        <v>-3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22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45918</v>
      </c>
      <c r="C16" s="4" t="s">
        <v>44</v>
      </c>
      <c r="D16" s="15">
        <v>0.125</v>
      </c>
      <c r="E16" s="6">
        <v>21.6</v>
      </c>
      <c r="F16" s="6">
        <f t="shared" si="1"/>
        <v>-3.3999999999999986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21.6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45919</v>
      </c>
      <c r="C17" s="4" t="s">
        <v>45</v>
      </c>
      <c r="D17" s="15">
        <v>0.95833333333333337</v>
      </c>
      <c r="E17" s="6">
        <v>22.2</v>
      </c>
      <c r="F17" s="6">
        <f t="shared" si="1"/>
        <v>-2.8000000000000007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22.2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45919</v>
      </c>
      <c r="C18" s="4" t="s">
        <v>45</v>
      </c>
      <c r="D18" s="15">
        <v>0.125</v>
      </c>
      <c r="E18" s="6">
        <v>21.8</v>
      </c>
      <c r="F18" s="6">
        <f t="shared" si="1"/>
        <v>-3.1999999999999993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21.8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45920</v>
      </c>
      <c r="C19" s="4" t="s">
        <v>46</v>
      </c>
      <c r="D19" s="15">
        <v>0.95833333333333337</v>
      </c>
      <c r="E19" s="6">
        <v>22.3</v>
      </c>
      <c r="F19" s="6">
        <f t="shared" si="1"/>
        <v>-2.6999999999999993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22.3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45920</v>
      </c>
      <c r="C20" s="4" t="s">
        <v>46</v>
      </c>
      <c r="D20" s="15">
        <v>0.125</v>
      </c>
      <c r="E20" s="6">
        <v>21.9</v>
      </c>
      <c r="F20" s="6">
        <f t="shared" si="1"/>
        <v>-3.1000000000000014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21.9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45921</v>
      </c>
      <c r="C21" s="47" t="s">
        <v>47</v>
      </c>
      <c r="D21" s="15">
        <v>0.95833333333333337</v>
      </c>
      <c r="E21" s="6">
        <v>22.1</v>
      </c>
      <c r="F21" s="6">
        <f t="shared" si="1"/>
        <v>-2.8999999999999986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22.1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45921</v>
      </c>
      <c r="C22" s="47" t="s">
        <v>47</v>
      </c>
      <c r="D22" s="15">
        <v>0.125</v>
      </c>
      <c r="E22" s="6">
        <v>21.8</v>
      </c>
      <c r="F22" s="6">
        <f>E22-$D$6</f>
        <v>-3.1999999999999993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21.8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45922</v>
      </c>
      <c r="C23" s="4" t="s">
        <v>48</v>
      </c>
      <c r="D23" s="15">
        <v>0.95833333333333337</v>
      </c>
      <c r="E23" s="6">
        <v>22.3</v>
      </c>
      <c r="F23" s="6">
        <f>E23-$D$6</f>
        <v>-2.6999999999999993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22.3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45922</v>
      </c>
      <c r="C24" s="4" t="s">
        <v>48</v>
      </c>
      <c r="D24" s="15">
        <v>0.125</v>
      </c>
      <c r="E24" s="6">
        <v>21.9</v>
      </c>
      <c r="F24" s="6">
        <f>E24-$D$6</f>
        <v>-3.1000000000000014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21.9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45923</v>
      </c>
      <c r="C25" s="4" t="s">
        <v>42</v>
      </c>
      <c r="D25" s="15">
        <v>0.95833333333333337</v>
      </c>
      <c r="E25" s="6">
        <v>22</v>
      </c>
      <c r="F25" s="6">
        <f t="shared" si="1"/>
        <v>-3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22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45923</v>
      </c>
      <c r="C26" s="4" t="s">
        <v>42</v>
      </c>
      <c r="D26" s="15">
        <v>0.125</v>
      </c>
      <c r="E26" s="6">
        <v>21.7</v>
      </c>
      <c r="F26" s="6">
        <f t="shared" si="1"/>
        <v>-3.3000000000000007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21.7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45924</v>
      </c>
      <c r="C27" s="4" t="s">
        <v>43</v>
      </c>
      <c r="D27" s="15">
        <v>0.95833333333333337</v>
      </c>
      <c r="E27" s="6">
        <v>22.2</v>
      </c>
      <c r="F27" s="6">
        <f t="shared" si="1"/>
        <v>-2.8000000000000007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22.2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45924</v>
      </c>
      <c r="C28" s="4" t="s">
        <v>43</v>
      </c>
      <c r="D28" s="15">
        <v>0.125</v>
      </c>
      <c r="E28" s="6">
        <v>21.6</v>
      </c>
      <c r="F28" s="6">
        <f t="shared" si="1"/>
        <v>-3.3999999999999986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21.6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45925</v>
      </c>
      <c r="C29" s="4" t="s">
        <v>44</v>
      </c>
      <c r="D29" s="15">
        <v>0.95833333333333337</v>
      </c>
      <c r="E29" s="6">
        <v>22.4</v>
      </c>
      <c r="F29" s="6">
        <f>E29-$D$6</f>
        <v>-2.6000000000000014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22.4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45925</v>
      </c>
      <c r="C30" s="4" t="s">
        <v>44</v>
      </c>
      <c r="D30" s="15">
        <v>0.125</v>
      </c>
      <c r="E30" s="6">
        <v>21.8</v>
      </c>
      <c r="F30" s="6">
        <f>E30-$D$6</f>
        <v>-3.1999999999999993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21.8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45926</v>
      </c>
      <c r="C31" s="4" t="s">
        <v>45</v>
      </c>
      <c r="D31" s="15">
        <v>0.95833333333333337</v>
      </c>
      <c r="E31" s="6">
        <v>22.3</v>
      </c>
      <c r="F31" s="6">
        <f>E31-$D$6</f>
        <v>-2.6999999999999993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22.3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45926</v>
      </c>
      <c r="C32" s="4" t="s">
        <v>45</v>
      </c>
      <c r="D32" s="15">
        <v>0.125</v>
      </c>
      <c r="E32" s="6">
        <v>21.9</v>
      </c>
      <c r="F32" s="6">
        <f t="shared" ref="F32:F38" si="4">E32-$D$6</f>
        <v>-3.1000000000000014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21.9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45927</v>
      </c>
      <c r="C33" s="4" t="s">
        <v>46</v>
      </c>
      <c r="D33" s="15">
        <v>0.95833333333333337</v>
      </c>
      <c r="E33" s="6">
        <v>22.1</v>
      </c>
      <c r="F33" s="6">
        <f t="shared" si="4"/>
        <v>-2.8999999999999986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22.1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45927</v>
      </c>
      <c r="C34" s="4" t="s">
        <v>46</v>
      </c>
      <c r="D34" s="15">
        <v>0.125</v>
      </c>
      <c r="E34" s="6">
        <v>21.7</v>
      </c>
      <c r="F34" s="6">
        <f t="shared" si="4"/>
        <v>-3.3000000000000007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21.7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45928</v>
      </c>
      <c r="C35" s="49" t="s">
        <v>47</v>
      </c>
      <c r="D35" s="15">
        <v>0.95833333333333337</v>
      </c>
      <c r="E35" s="6">
        <v>22</v>
      </c>
      <c r="F35" s="6">
        <f t="shared" si="4"/>
        <v>-3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22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45928</v>
      </c>
      <c r="C36" s="49" t="s">
        <v>47</v>
      </c>
      <c r="D36" s="15">
        <v>0.125</v>
      </c>
      <c r="E36" s="6">
        <v>21.6</v>
      </c>
      <c r="F36" s="6">
        <f t="shared" si="4"/>
        <v>-3.3999999999999986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21.6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45929</v>
      </c>
      <c r="C37" s="49" t="s">
        <v>48</v>
      </c>
      <c r="D37" s="15">
        <v>0.95833333333333337</v>
      </c>
      <c r="E37" s="6">
        <v>22.2</v>
      </c>
      <c r="F37" s="6">
        <f t="shared" si="4"/>
        <v>-2.8000000000000007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22.2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45929</v>
      </c>
      <c r="C38" s="49" t="s">
        <v>48</v>
      </c>
      <c r="D38" s="15">
        <v>0.125</v>
      </c>
      <c r="E38" s="6">
        <v>21.8</v>
      </c>
      <c r="F38" s="6">
        <f t="shared" si="4"/>
        <v>-3.1999999999999993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21.8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45930</v>
      </c>
      <c r="C39" s="49" t="s">
        <v>42</v>
      </c>
      <c r="D39" s="15">
        <v>0.95833333333333337</v>
      </c>
      <c r="E39" s="6">
        <v>22.1</v>
      </c>
      <c r="F39" s="6">
        <f t="shared" ref="F39:F40" si="5">E39-$D$6</f>
        <v>-2.8999999999999986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0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45930</v>
      </c>
      <c r="C40" s="49" t="s">
        <v>44</v>
      </c>
      <c r="D40" s="15">
        <v>0.125</v>
      </c>
      <c r="E40" s="6">
        <v>21.8</v>
      </c>
      <c r="F40" s="6">
        <f t="shared" si="5"/>
        <v>-3.1999999999999993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48">
        <f>E43</f>
        <v>0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/>
      <c r="B41" s="4"/>
      <c r="C41" s="49"/>
      <c r="D41" s="15"/>
      <c r="E41" s="6"/>
      <c r="F41" s="6"/>
      <c r="G41" s="10"/>
      <c r="H41" s="7"/>
      <c r="J41" s="2">
        <f t="shared" si="0"/>
        <v>0</v>
      </c>
      <c r="K41" s="11">
        <v>25</v>
      </c>
      <c r="L41" s="11">
        <v>26.3</v>
      </c>
      <c r="M41" s="11">
        <v>20</v>
      </c>
      <c r="N41" s="11">
        <v>30</v>
      </c>
      <c r="O41" s="11">
        <v>15</v>
      </c>
      <c r="P41" s="11">
        <v>35</v>
      </c>
    </row>
    <row r="42" spans="1:16" s="12" customFormat="1" ht="20.149999999999999" customHeight="1" x14ac:dyDescent="0.45">
      <c r="A42" s="5"/>
      <c r="B42" s="4"/>
      <c r="C42" s="49"/>
      <c r="D42" s="15"/>
      <c r="E42" s="6"/>
      <c r="F42" s="6"/>
      <c r="G42" s="10"/>
      <c r="H42" s="7"/>
      <c r="J42" s="2">
        <f t="shared" si="0"/>
        <v>0</v>
      </c>
      <c r="K42" s="11"/>
      <c r="L42" s="11"/>
      <c r="M42" s="11"/>
      <c r="N42" s="11"/>
      <c r="O42" s="11"/>
      <c r="P42" s="11"/>
    </row>
    <row r="43" spans="1:16" s="12" customFormat="1" ht="20.149999999999999" customHeight="1" x14ac:dyDescent="0.45">
      <c r="A43" s="5"/>
      <c r="E43" s="6"/>
      <c r="F43" s="6"/>
      <c r="G43" s="10"/>
      <c r="H43" s="7"/>
      <c r="J43" s="2">
        <f>A43</f>
        <v>0</v>
      </c>
    </row>
    <row r="44" spans="1:16" ht="20.149999999999999" customHeight="1" x14ac:dyDescent="0.45">
      <c r="A44" s="4" t="s">
        <v>25</v>
      </c>
      <c r="B44" s="13">
        <f>AVERAGE(E11:E44)</f>
        <v>21.970000000000002</v>
      </c>
      <c r="C44" s="4" t="s">
        <v>26</v>
      </c>
      <c r="D44" s="14">
        <v>22.4</v>
      </c>
      <c r="E44" s="6" t="s">
        <v>27</v>
      </c>
      <c r="F44" s="14">
        <v>21.6</v>
      </c>
      <c r="G44" s="10" t="s">
        <v>4</v>
      </c>
      <c r="H44" s="7" t="s">
        <v>10</v>
      </c>
      <c r="K44" s="11"/>
      <c r="L44" s="11"/>
      <c r="M44" s="11"/>
      <c r="N44" s="11"/>
      <c r="O44" s="11"/>
      <c r="P44" s="11"/>
    </row>
    <row r="45" spans="1:16" ht="20" customHeight="1" x14ac:dyDescent="0.45">
      <c r="A45" s="40"/>
      <c r="B45" s="41"/>
      <c r="C45" s="41"/>
      <c r="D45" s="41"/>
      <c r="H45" s="41"/>
      <c r="J45" s="2" t="s">
        <v>37</v>
      </c>
    </row>
    <row r="46" spans="1:16" ht="17" customHeight="1" x14ac:dyDescent="0.45"/>
    <row r="47" spans="1:16" x14ac:dyDescent="0.45">
      <c r="A47" s="2" t="s">
        <v>38</v>
      </c>
      <c r="B47" s="42"/>
      <c r="C47" s="43"/>
      <c r="D47" s="43"/>
      <c r="E47" s="41"/>
      <c r="F47" s="44" t="s">
        <v>36</v>
      </c>
      <c r="H47" s="45" t="s">
        <v>37</v>
      </c>
    </row>
    <row r="50" spans="1:8" x14ac:dyDescent="0.45">
      <c r="A50" s="2" t="s">
        <v>39</v>
      </c>
      <c r="B50" s="46"/>
      <c r="C50" s="46"/>
      <c r="D50" s="46"/>
      <c r="F50" s="44" t="s">
        <v>36</v>
      </c>
      <c r="H50" s="45" t="s">
        <v>37</v>
      </c>
    </row>
    <row r="51" spans="1:8" ht="26.5" customHeight="1" x14ac:dyDescent="0.45"/>
    <row r="52" spans="1:8" ht="29" customHeight="1" x14ac:dyDescent="0.45"/>
    <row r="53" spans="1:8" ht="19.5" customHeight="1" x14ac:dyDescent="0.45"/>
    <row r="55" spans="1:8" ht="2.25" customHeight="1" x14ac:dyDescent="0.45"/>
    <row r="56" spans="1:8" customFormat="1" ht="14.5" hidden="1" x14ac:dyDescent="0.35"/>
    <row r="57" spans="1:8" customFormat="1" x14ac:dyDescent="0.35">
      <c r="A57" s="16"/>
      <c r="B57" s="17"/>
      <c r="C57" s="17"/>
      <c r="D57" s="18"/>
      <c r="E57" s="17"/>
      <c r="F57" s="18"/>
      <c r="G57" s="19"/>
      <c r="H57" s="20"/>
    </row>
  </sheetData>
  <mergeCells count="3">
    <mergeCell ref="A1:B3"/>
    <mergeCell ref="C1:F2"/>
    <mergeCell ref="G4:H4"/>
  </mergeCells>
  <printOptions horizontalCentered="1" verticalCentered="1"/>
  <pageMargins left="0.83611111111111114" right="0.7" top="0.75" bottom="0.75" header="0.3" footer="0.3"/>
  <pageSetup paperSize="9" scale="56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2026-06-19T05:25:04Z</cp:lastPrinted>
  <dcterms:created xsi:type="dcterms:W3CDTF">2019-12-19T05:48:48Z</dcterms:created>
  <dcterms:modified xsi:type="dcterms:W3CDTF">2026-06-19T05:25:09Z</dcterms:modified>
</cp:coreProperties>
</file>