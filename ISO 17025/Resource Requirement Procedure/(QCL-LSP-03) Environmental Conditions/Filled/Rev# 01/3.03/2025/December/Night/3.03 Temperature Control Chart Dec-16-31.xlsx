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Decem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<sst xmlns="http://schemas.openxmlformats.org/spreadsheetml/2006/main" count="137" uniqueCount="53">
  <si>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</si>
  <si>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</si>
  <si>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</si>
  <si>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</si>
  <si>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</si>
  <si>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</si>
  <si>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</si>
  <si>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</si>
  <si>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</si>
  <si>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</si>
  <si>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</si>
  <si>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</si>
  <si>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</si>
  <si>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</si>
  <si>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</si>
  <si>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</si>
  <si>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</si>
  <si>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</si>
  <si>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</si>
  <si>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</si>
  <si>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</si>
  <si>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</si>
  <si>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</si>
  <si>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</si>
  <si>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</si>
  <si>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</si>
  <si>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</si>
  <si>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</si>
  <si>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</si>
  <si>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</si>
  <si>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</si>
  <si>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</si>
  <si>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</si>
  <si>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</si>
  <si>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</si>
  <si>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</si>
  <si>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</si>
  <si>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</si>
  <si>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</si>
  <si>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</si>
  <si>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</si>
  <si>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</si>
  <si>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</si>
  <si>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</si>
  <si>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</si>
  <si>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</si>
  <si>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</si>
  <si>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</si>
  <si>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</si>
  <si>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</si>
  <si>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Tuesday </t>
  </si>
  <si>
    <t xml:space="preserve"> Wednesday </t>
  </si>
  <si>
    <t>December-2025 (Second Half)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</si>
</sst>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24.6</c:v>
                </c:pt>
                <c:pt idx="1">
                  <c:v>25.9</c:v>
                </c:pt>
                <c:pt idx="2">
                  <c:v>23.7</c:v>
                </c:pt>
                <c:pt idx="3">
                  <c:v>26.2</c:v>
                </c:pt>
                <c:pt idx="4">
                  <c:v>23.2</c:v>
                </c:pt>
                <c:pt idx="5">
                  <c:v>27.2</c:v>
                </c:pt>
                <c:pt idx="6">
                  <c:v>24</c:v>
                </c:pt>
                <c:pt idx="7">
                  <c:v>26.3</c:v>
                </c:pt>
                <c:pt idx="8">
                  <c:v>23.1</c:v>
                </c:pt>
                <c:pt idx="9">
                  <c:v>25.2</c:v>
                </c:pt>
                <c:pt idx="10">
                  <c:v>23.6</c:v>
                </c:pt>
                <c:pt idx="11">
                  <c:v>26.2</c:v>
                </c:pt>
                <c:pt idx="12">
                  <c:v>24.1</c:v>
                </c:pt>
                <c:pt idx="13">
                  <c:v>26.2</c:v>
                </c:pt>
                <c:pt idx="14">
                  <c:v>23.8</c:v>
                </c:pt>
                <c:pt idx="15">
                  <c:v>26.5</c:v>
                </c:pt>
                <c:pt idx="16">
                  <c:v>23</c:v>
                </c:pt>
                <c:pt idx="17">
                  <c:v>26.2</c:v>
                </c:pt>
                <c:pt idx="18">
                  <c:v>24.1</c:v>
                </c:pt>
                <c:pt idx="19">
                  <c:v>27</c:v>
                </c:pt>
                <c:pt idx="20">
                  <c:v>23.3</c:v>
                </c:pt>
                <c:pt idx="21">
                  <c:v>25.8</c:v>
                </c:pt>
                <c:pt idx="22">
                  <c:v>24</c:v>
                </c:pt>
                <c:pt idx="23">
                  <c:v>25.8</c:v>
                </c:pt>
                <c:pt idx="24">
                  <c:v>23.9</c:v>
                </c:pt>
                <c:pt idx="25">
                  <c:v>26.2</c:v>
                </c:pt>
                <c:pt idx="26">
                  <c:v>24.2</c:v>
                </c:pt>
                <c:pt idx="27">
                  <c:v>25.8</c:v>
                </c:pt>
                <c:pt idx="28">
                  <c:v>23.8</c:v>
                </c:pt>
                <c:pt idx="29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3" zoomScale="80" zoomScaleNormal="100" zoomScaleSheetLayoutView="100" zoomScalePageLayoutView="80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8"/>
      <c r="B1" s="49"/>
      <c r="C1" s="54" t="s">
        <v>1</v>
      </c>
      <c r="D1" s="54"/>
      <c r="E1" s="54"/>
      <c r="F1" s="55"/>
      <c r="G1" s="21" t="s">
        <v>28</v>
      </c>
      <c r="H1" s="22" t="s">
        <v>30</v>
      </c>
    </row>
    <row r="2" spans="1:16" customFormat="1" ht="16.5" customHeight="1" thickTop="1" thickBot="1" x14ac:dyDescent="0.4">
      <c r="A2" s="50"/>
      <c r="B2" s="51"/>
      <c r="C2" s="56"/>
      <c r="D2" s="56"/>
      <c r="E2" s="56"/>
      <c r="F2" s="57"/>
      <c r="G2" s="23" t="s">
        <v>29</v>
      </c>
      <c r="H2" s="24">
        <v>45301</v>
      </c>
    </row>
    <row r="3" spans="1:16" ht="13" customHeight="1" thickTop="1" thickBot="1" x14ac:dyDescent="0.5">
      <c r="A3" s="52"/>
      <c r="B3" s="53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52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46007</v>
      </c>
      <c r="C11" s="4" t="s">
        <v>43</v>
      </c>
      <c r="D11" s="15">
        <v>0.95833333333333337</v>
      </c>
      <c r="E11" s="6">
        <v>24.6</v>
      </c>
      <c r="F11" s="6">
        <f>E11-D6</f>
        <v>-0.39999999999999858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46007</v>
      </c>
      <c r="C12" s="4" t="s">
        <v>43</v>
      </c>
      <c r="D12" s="15">
        <v>0.125</v>
      </c>
      <c r="E12" s="6">
        <v>25.9</v>
      </c>
      <c r="F12" s="6">
        <f t="shared" ref="F12:F33" si="1">E12-$D$6</f>
        <v>0.89999999999999858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46008</v>
      </c>
      <c r="C13" s="4" t="s">
        <v>44</v>
      </c>
      <c r="D13" s="15">
        <v>0.95833333333333337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46008</v>
      </c>
      <c r="C14" s="4" t="s">
        <v>44</v>
      </c>
      <c r="D14" s="15">
        <v>0.125</v>
      </c>
      <c r="E14" s="6">
        <v>26.2</v>
      </c>
      <c r="F14" s="6">
        <f t="shared" si="1"/>
        <v>1.1999999999999993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26.2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46009</v>
      </c>
      <c r="C15" s="4" t="s">
        <v>45</v>
      </c>
      <c r="D15" s="15">
        <v>0.95833333333333337</v>
      </c>
      <c r="E15" s="6">
        <v>23.2</v>
      </c>
      <c r="F15" s="6">
        <f t="shared" si="1"/>
        <v>-1.8000000000000007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46009</v>
      </c>
      <c r="C16" s="4" t="s">
        <v>45</v>
      </c>
      <c r="D16" s="15">
        <v>0.125</v>
      </c>
      <c r="E16" s="6">
        <v>27.2</v>
      </c>
      <c r="F16" s="6">
        <f t="shared" si="1"/>
        <v>2.1999999999999993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27.2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46010</v>
      </c>
      <c r="C17" s="4" t="s">
        <v>46</v>
      </c>
      <c r="D17" s="15">
        <v>0.95833333333333337</v>
      </c>
      <c r="E17" s="6">
        <v>24</v>
      </c>
      <c r="F17" s="6">
        <f t="shared" si="1"/>
        <v>-1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46010</v>
      </c>
      <c r="C18" s="4" t="s">
        <v>46</v>
      </c>
      <c r="D18" s="15">
        <v>0.125</v>
      </c>
      <c r="E18" s="6">
        <v>26.3</v>
      </c>
      <c r="F18" s="6">
        <f t="shared" si="1"/>
        <v>1.3000000000000007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26.3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46011</v>
      </c>
      <c r="C19" s="4" t="s">
        <v>47</v>
      </c>
      <c r="D19" s="15">
        <v>0.95833333333333337</v>
      </c>
      <c r="E19" s="6">
        <v>23.1</v>
      </c>
      <c r="F19" s="6">
        <f t="shared" si="1"/>
        <v>-1.8999999999999986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46011</v>
      </c>
      <c r="C20" s="4" t="s">
        <v>47</v>
      </c>
      <c r="D20" s="15">
        <v>0.125</v>
      </c>
      <c r="E20" s="6">
        <v>25.2</v>
      </c>
      <c r="F20" s="6">
        <f t="shared" si="1"/>
        <v>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25.2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46012</v>
      </c>
      <c r="C21" s="4" t="s">
        <v>48</v>
      </c>
      <c r="D21" s="15">
        <v>0.95833333333333337</v>
      </c>
      <c r="E21" s="6">
        <v>23.6</v>
      </c>
      <c r="F21" s="6">
        <f t="shared" si="1"/>
        <v>-1.3999999999999986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46012</v>
      </c>
      <c r="C22" s="4" t="s">
        <v>48</v>
      </c>
      <c r="D22" s="15">
        <v>0.125</v>
      </c>
      <c r="E22" s="6">
        <v>26.2</v>
      </c>
      <c r="F22" s="6">
        <f>E22-$D$6</f>
        <v>1.1999999999999993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26.2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46013</v>
      </c>
      <c r="C23" s="4" t="s">
        <v>49</v>
      </c>
      <c r="D23" s="15">
        <v>0.95833333333333337</v>
      </c>
      <c r="E23" s="6">
        <v>24.1</v>
      </c>
      <c r="F23" s="6">
        <f>E23-$D$6</f>
        <v>-0.89999999999999858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46013</v>
      </c>
      <c r="C24" s="4" t="s">
        <v>49</v>
      </c>
      <c r="D24" s="15">
        <v>0.125</v>
      </c>
      <c r="E24" s="6">
        <v>26.2</v>
      </c>
      <c r="F24" s="6">
        <f>E24-$D$6</f>
        <v>1.1999999999999993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46014</v>
      </c>
      <c r="C25" s="4" t="s">
        <v>43</v>
      </c>
      <c r="D25" s="15">
        <v>0.95833333333333337</v>
      </c>
      <c r="E25" s="6">
        <v>23.8</v>
      </c>
      <c r="F25" s="6">
        <f t="shared" si="1"/>
        <v>-1.1999999999999993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46014</v>
      </c>
      <c r="C26" s="4" t="s">
        <v>43</v>
      </c>
      <c r="D26" s="15">
        <v>0.125</v>
      </c>
      <c r="E26" s="6">
        <v>26.5</v>
      </c>
      <c r="F26" s="6">
        <f t="shared" si="1"/>
        <v>1.5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46015</v>
      </c>
      <c r="C27" s="4" t="s">
        <v>45</v>
      </c>
      <c r="D27" s="15">
        <v>0.95833333333333337</v>
      </c>
      <c r="E27" s="6">
        <v>23</v>
      </c>
      <c r="F27" s="6">
        <f t="shared" si="1"/>
        <v>-2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46015</v>
      </c>
      <c r="C28" s="4" t="s">
        <v>45</v>
      </c>
      <c r="D28" s="15">
        <v>0.125</v>
      </c>
      <c r="E28" s="6">
        <v>26.2</v>
      </c>
      <c r="F28" s="6">
        <f t="shared" si="1"/>
        <v>1.1999999999999993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45987</v>
      </c>
      <c r="C29" s="4" t="s">
        <v>46</v>
      </c>
      <c r="D29" s="15">
        <v>0.95833333333333337</v>
      </c>
      <c r="E29" s="6">
        <v>24.1</v>
      </c>
      <c r="F29" s="6">
        <f t="shared" si="1"/>
        <v>-0.89999999999999858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45987</v>
      </c>
      <c r="C30" s="4" t="s">
        <v>46</v>
      </c>
      <c r="D30" s="15">
        <v>0.125</v>
      </c>
      <c r="E30" s="6">
        <v>27</v>
      </c>
      <c r="F30" s="6">
        <f t="shared" si="1"/>
        <v>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45988</v>
      </c>
      <c r="C31" s="4" t="s">
        <v>47</v>
      </c>
      <c r="D31" s="15">
        <v>0.95833333333333337</v>
      </c>
      <c r="E31" s="6">
        <v>23.3</v>
      </c>
      <c r="F31" s="6">
        <f t="shared" si="1"/>
        <v>-1.6999999999999993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45988</v>
      </c>
      <c r="C32" s="4" t="s">
        <v>47</v>
      </c>
      <c r="D32" s="15">
        <v>0.125</v>
      </c>
      <c r="E32" s="6">
        <v>25.8</v>
      </c>
      <c r="F32" s="6">
        <f t="shared" si="1"/>
        <v>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45989</v>
      </c>
      <c r="C33" s="4" t="s">
        <v>48</v>
      </c>
      <c r="D33" s="15">
        <v>0.95833333333333337</v>
      </c>
      <c r="E33" s="6">
        <v>24</v>
      </c>
      <c r="F33" s="6">
        <f t="shared" si="1"/>
        <v>-1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45989</v>
      </c>
      <c r="C34" s="4" t="s">
        <v>48</v>
      </c>
      <c r="D34" s="15">
        <v>0.125</v>
      </c>
      <c r="E34" s="6">
        <v>25.8</v>
      </c>
      <c r="F34" s="6">
        <f t="shared" ref="F34:F40" si="3">E34-$D$6</f>
        <v>0.80000000000000071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25.8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45990</v>
      </c>
      <c r="C35" s="4" t="s">
        <v>49</v>
      </c>
      <c r="D35" s="15">
        <v>0.95833333333333337</v>
      </c>
      <c r="E35" s="6">
        <v>23.9</v>
      </c>
      <c r="F35" s="6">
        <f t="shared" si="3"/>
        <v>-1.1000000000000014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23.9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45990</v>
      </c>
      <c r="C36" s="4" t="s">
        <v>49</v>
      </c>
      <c r="D36" s="15">
        <v>0.125</v>
      </c>
      <c r="E36" s="6">
        <v>26.2</v>
      </c>
      <c r="F36" s="6">
        <f t="shared" si="3"/>
        <v>1.1999999999999993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26.2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45991</v>
      </c>
      <c r="C37" s="4" t="s">
        <v>43</v>
      </c>
      <c r="D37" s="15">
        <v>0.95833333333333337</v>
      </c>
      <c r="E37" s="6">
        <v>24.2</v>
      </c>
      <c r="F37" s="6">
        <f t="shared" si="3"/>
        <v>-0.80000000000000071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45991</v>
      </c>
      <c r="C38" s="4" t="s">
        <v>50</v>
      </c>
      <c r="D38" s="15">
        <v>0.125</v>
      </c>
      <c r="E38" s="6">
        <v>25.8</v>
      </c>
      <c r="F38" s="6">
        <f t="shared" si="3"/>
        <v>0.80000000000000071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25.8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46022</v>
      </c>
      <c r="C39" s="4" t="s">
        <v>44</v>
      </c>
      <c r="D39" s="15">
        <v>0.95833333333333337</v>
      </c>
      <c r="E39" s="6">
        <v>23.8</v>
      </c>
      <c r="F39" s="6">
        <f t="shared" si="3"/>
        <v>-1.1999999999999993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23.8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46022</v>
      </c>
      <c r="C40" s="4" t="s">
        <v>51</v>
      </c>
      <c r="D40" s="15">
        <v>0.125</v>
      </c>
      <c r="E40" s="6">
        <v>25.6</v>
      </c>
      <c r="F40" s="6">
        <f t="shared" si="3"/>
        <v>0.60000000000000142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25.6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"/>
      <c r="D41" s="15"/>
      <c r="E41" s="6"/>
      <c r="F41" s="14"/>
      <c r="G41" s="10"/>
      <c r="H41" s="7"/>
      <c r="J41" s="2">
        <f t="shared" si="0"/>
        <v>0</v>
      </c>
      <c r="K41" s="11">
        <v>25</v>
      </c>
      <c r="L41" s="11">
        <f t="shared" si="4"/>
        <v>0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49999999999999" customHeight="1" x14ac:dyDescent="0.45">
      <c r="A42" s="5"/>
      <c r="B42" s="4"/>
      <c r="C42" s="4"/>
      <c r="D42" s="15"/>
      <c r="E42" s="6"/>
      <c r="F42" s="14"/>
      <c r="G42" s="10"/>
      <c r="H42" s="7"/>
      <c r="J42" s="2">
        <f t="shared" si="0"/>
        <v>0</v>
      </c>
      <c r="K42" s="11">
        <v>25</v>
      </c>
      <c r="L42" s="11">
        <f t="shared" si="4"/>
        <v>0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49999999999999" customHeight="1" x14ac:dyDescent="0.45">
      <c r="A43" s="4" t="s">
        <v>25</v>
      </c>
      <c r="B43" s="13">
        <f>AVERAGE(E11:E40)</f>
        <v>24.949999999999996</v>
      </c>
      <c r="C43" s="4" t="s">
        <v>26</v>
      </c>
      <c r="D43" s="14">
        <v>27</v>
      </c>
      <c r="E43" s="6" t="s">
        <v>27</v>
      </c>
      <c r="F43" s="14">
        <v>23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38</v>
      </c>
    </row>
    <row r="45" spans="1:16" ht="17" customHeight="1" x14ac:dyDescent="0.45"/>
    <row r="46" spans="1:16" x14ac:dyDescent="0.4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4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29652777777777778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2026-06-18T07:28:43Z</cp:lastPrinted>
  <dcterms:created xsi:type="dcterms:W3CDTF">2019-12-19T05:48:48Z</dcterms:created>
  <dcterms:modified xsi:type="dcterms:W3CDTF">2026-06-18T07:28:46Z</dcterms:modified>
</cp:coreProperties>
</file>