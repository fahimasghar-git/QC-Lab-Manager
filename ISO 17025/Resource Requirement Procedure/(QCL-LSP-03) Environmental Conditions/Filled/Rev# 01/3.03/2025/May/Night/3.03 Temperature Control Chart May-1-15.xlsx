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May\Night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7" i="6" l="1"/>
  <c r="J38" i="6"/>
  <c r="F38" i="6"/>
  <c r="L38" i="6"/>
  <c r="F37" i="6"/>
  <c r="L37" i="6"/>
  <c r="B41" i="6"/>
  <c r="F11" i="6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F24" i="6"/>
  <c r="L24" i="6"/>
  <c r="F23" i="6"/>
  <c r="L23" i="6"/>
  <c r="L34" i="6" l="1"/>
  <c r="L35" i="6"/>
  <c r="L36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<sst xmlns="http://schemas.openxmlformats.org/spreadsheetml/2006/main" count="132" uniqueCount="51">
  <si>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</si>
  <si>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</si>
  <si>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</si>
  <si>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</si>
  <si>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</si>
  <si>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</si>
  <si>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</si>
  <si>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</si>
  <si>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</si>
  <si>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</si>
  <si>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</si>
  <si>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</si>
  <si>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</si>
  <si>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</si>
  <si>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</si>
  <si>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</si>
  <si>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</si>
  <si>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</si>
  <si>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</si>
  <si>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</si>
  <si>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</si>
  <si>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</si>
  <si>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</si>
  <si>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</si>
  <si>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</si>
  <si>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</si>
  <si>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</si>
  <si>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</si>
  <si>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</si>
  <si>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</si>
  <si>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</si>
  <si>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</si>
  <si>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</si>
  <si>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</si>
  <si>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</si>
  <si>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</si>
  <si>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</si>
  <si>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</si>
  <si>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</si>
  <si>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</si>
  <si>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</si>
  <si>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</si>
  <si>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</si>
  <si>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</si>
  <si>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</si>
  <si>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</si>
  <si>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</si>
  <si>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</si>
  <si>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</si>
  <si>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>VAN/QC/EQP-001</t>
  </si>
  <si>
    <t>May-2025 (First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</si>
</sst>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168" fontId="7" fillId="0" borderId="1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6" fontId="7" fillId="0" borderId="3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167" fontId="2" fillId="0" borderId="16" xfId="0" applyNumberFormat="1" applyFont="1" applyBorder="1" applyAlignment="1">
      <alignment horizontal="center" vertical="center"/>
    </xf>
    <xf numFmtId="18" fontId="2" fillId="0" borderId="16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Hall-Sep-1'!$K$11:$K$39</c:f>
              <c:numCache>
                <c:formatCode>0.0</c:formatCode>
                <c:ptCount val="29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Hall-Sep-1'!$L$11:$L$39</c:f>
              <c:numCache>
                <c:formatCode>0.0</c:formatCode>
                <c:ptCount val="29"/>
                <c:pt idx="0">
                  <c:v>22.3</c:v>
                </c:pt>
                <c:pt idx="1">
                  <c:v>21.5</c:v>
                </c:pt>
                <c:pt idx="2">
                  <c:v>22.6</c:v>
                </c:pt>
                <c:pt idx="3">
                  <c:v>21.2</c:v>
                </c:pt>
                <c:pt idx="4">
                  <c:v>22.1</c:v>
                </c:pt>
                <c:pt idx="5">
                  <c:v>20.9</c:v>
                </c:pt>
                <c:pt idx="6">
                  <c:v>22.4</c:v>
                </c:pt>
                <c:pt idx="7">
                  <c:v>21</c:v>
                </c:pt>
                <c:pt idx="8">
                  <c:v>22.2</c:v>
                </c:pt>
                <c:pt idx="9">
                  <c:v>21.3</c:v>
                </c:pt>
                <c:pt idx="10">
                  <c:v>22.5</c:v>
                </c:pt>
                <c:pt idx="11">
                  <c:v>21.1</c:v>
                </c:pt>
                <c:pt idx="12">
                  <c:v>22</c:v>
                </c:pt>
                <c:pt idx="13">
                  <c:v>21.2</c:v>
                </c:pt>
                <c:pt idx="14">
                  <c:v>22.6</c:v>
                </c:pt>
                <c:pt idx="15">
                  <c:v>21.4</c:v>
                </c:pt>
                <c:pt idx="16">
                  <c:v>22.2</c:v>
                </c:pt>
                <c:pt idx="17">
                  <c:v>21</c:v>
                </c:pt>
                <c:pt idx="18">
                  <c:v>22</c:v>
                </c:pt>
                <c:pt idx="19">
                  <c:v>20.9</c:v>
                </c:pt>
                <c:pt idx="20">
                  <c:v>22.3</c:v>
                </c:pt>
                <c:pt idx="21">
                  <c:v>21.1</c:v>
                </c:pt>
                <c:pt idx="22">
                  <c:v>22.1</c:v>
                </c:pt>
                <c:pt idx="23">
                  <c:v>20.8</c:v>
                </c:pt>
                <c:pt idx="24">
                  <c:v>22.4</c:v>
                </c:pt>
                <c:pt idx="25">
                  <c:v>21.3</c:v>
                </c:pt>
                <c:pt idx="26">
                  <c:v>22</c:v>
                </c:pt>
                <c:pt idx="27">
                  <c:v>20.9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Hall-Sep-1'!$M$11:$M$39</c:f>
              <c:numCache>
                <c:formatCode>0.0</c:formatCode>
                <c:ptCount val="29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Hall-Sep-1'!$N$11:$N$39</c:f>
              <c:numCache>
                <c:formatCode>0.0</c:formatCode>
                <c:ptCount val="29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Hall-Sep-1'!$O$11:$O$39</c:f>
              <c:numCache>
                <c:formatCode>0.0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Hall-Sep-1'!$P$11:$P$39</c:f>
              <c:numCache>
                <c:formatCode>0.0</c:formatCode>
                <c:ptCount val="29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4"/>
  <sheetViews>
    <sheetView tabSelected="1" view="pageLayout" topLeftCell="A2" zoomScale="85" zoomScaleNormal="100" zoomScaleSheetLayoutView="100" zoomScalePageLayoutView="85" workbookViewId="0">
      <selection activeCell="D11" sqref="D11:D38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51"/>
      <c r="B1" s="52"/>
      <c r="C1" s="57" t="s">
        <v>1</v>
      </c>
      <c r="D1" s="57"/>
      <c r="E1" s="57"/>
      <c r="F1" s="58"/>
      <c r="G1" s="20" t="s">
        <v>28</v>
      </c>
      <c r="H1" s="21" t="s">
        <v>30</v>
      </c>
    </row>
    <row r="2" spans="1:16" customFormat="1" ht="16.5" customHeight="1" thickTop="1" thickBot="1" x14ac:dyDescent="0.4">
      <c r="A2" s="53"/>
      <c r="B2" s="54"/>
      <c r="C2" s="59"/>
      <c r="D2" s="59"/>
      <c r="E2" s="59"/>
      <c r="F2" s="60"/>
      <c r="G2" s="22" t="s">
        <v>29</v>
      </c>
      <c r="H2" s="23">
        <v>45301</v>
      </c>
    </row>
    <row r="3" spans="1:16" ht="13" customHeight="1" thickTop="1" thickBot="1" x14ac:dyDescent="0.5">
      <c r="A3" s="55"/>
      <c r="B3" s="56"/>
      <c r="C3" s="24"/>
      <c r="D3" s="25"/>
      <c r="E3" s="25"/>
      <c r="F3" s="25"/>
      <c r="G3" s="22" t="s">
        <v>35</v>
      </c>
      <c r="H3" s="26">
        <v>1</v>
      </c>
    </row>
    <row r="4" spans="1:16" ht="16.5" customHeight="1" thickTop="1" x14ac:dyDescent="0.45">
      <c r="A4" s="27" t="s">
        <v>2</v>
      </c>
      <c r="B4" s="28"/>
      <c r="C4" s="29"/>
      <c r="D4" s="30" t="s">
        <v>18</v>
      </c>
      <c r="E4" s="28"/>
      <c r="F4" s="27" t="s">
        <v>13</v>
      </c>
      <c r="G4" s="31" t="s">
        <v>50</v>
      </c>
      <c r="H4" s="32"/>
    </row>
    <row r="5" spans="1:16" ht="17" customHeight="1" x14ac:dyDescent="0.45">
      <c r="A5" s="27" t="s">
        <v>11</v>
      </c>
      <c r="B5" s="28"/>
      <c r="C5" s="30"/>
      <c r="D5" s="30" t="s">
        <v>23</v>
      </c>
      <c r="E5" s="33"/>
      <c r="F5" s="34" t="s">
        <v>12</v>
      </c>
      <c r="G5" s="27" t="s">
        <v>34</v>
      </c>
      <c r="H5" s="32"/>
    </row>
    <row r="6" spans="1:16" ht="14.5" customHeight="1" x14ac:dyDescent="0.45">
      <c r="A6" s="27" t="s">
        <v>31</v>
      </c>
      <c r="B6" s="28"/>
      <c r="C6" s="30"/>
      <c r="D6" s="35">
        <v>25</v>
      </c>
      <c r="E6" s="36"/>
      <c r="F6" s="34" t="s">
        <v>14</v>
      </c>
      <c r="G6" s="39" t="s">
        <v>49</v>
      </c>
      <c r="H6" s="36"/>
    </row>
    <row r="7" spans="1:16" x14ac:dyDescent="0.45">
      <c r="A7" s="27" t="s">
        <v>32</v>
      </c>
      <c r="B7" s="28"/>
      <c r="C7" s="30"/>
      <c r="D7" s="35">
        <v>20</v>
      </c>
      <c r="E7" s="38"/>
      <c r="F7" s="34" t="s">
        <v>40</v>
      </c>
      <c r="G7" s="37">
        <v>30</v>
      </c>
      <c r="H7" s="38"/>
    </row>
    <row r="8" spans="1:16" x14ac:dyDescent="0.45">
      <c r="A8" s="27" t="s">
        <v>33</v>
      </c>
      <c r="B8" s="28"/>
      <c r="C8" s="30"/>
      <c r="D8" s="35">
        <v>15</v>
      </c>
      <c r="E8" s="38"/>
      <c r="F8" s="34" t="s">
        <v>41</v>
      </c>
      <c r="G8" s="37">
        <v>35</v>
      </c>
      <c r="H8" s="38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45779</v>
      </c>
      <c r="C11" s="4" t="s">
        <v>45</v>
      </c>
      <c r="D11" s="14">
        <v>0.95833333333333337</v>
      </c>
      <c r="E11" s="6">
        <v>22.3</v>
      </c>
      <c r="F11" s="6">
        <f>E11-D6</f>
        <v>-2.6999999999999993</v>
      </c>
      <c r="G11" s="10" t="s">
        <v>4</v>
      </c>
      <c r="H11" s="7" t="s">
        <v>10</v>
      </c>
      <c r="J11" s="2">
        <f t="shared" ref="J11:J38" si="0">A11</f>
        <v>1</v>
      </c>
      <c r="K11" s="11">
        <v>25</v>
      </c>
      <c r="L11" s="11">
        <f>E11</f>
        <v>22.3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45779</v>
      </c>
      <c r="C12" s="4" t="s">
        <v>45</v>
      </c>
      <c r="D12" s="14">
        <v>0.125</v>
      </c>
      <c r="E12" s="6">
        <v>21.5</v>
      </c>
      <c r="F12" s="6">
        <f t="shared" ref="F12:F33" si="1">E12-$D$6</f>
        <v>-3.5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21.5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45780</v>
      </c>
      <c r="C13" s="4" t="s">
        <v>46</v>
      </c>
      <c r="D13" s="14">
        <v>0.95833333333333337</v>
      </c>
      <c r="E13" s="6">
        <v>22.6</v>
      </c>
      <c r="F13" s="6">
        <f t="shared" si="1"/>
        <v>-2.3999999999999986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22.6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45780</v>
      </c>
      <c r="C14" s="4" t="s">
        <v>46</v>
      </c>
      <c r="D14" s="14">
        <v>0.125</v>
      </c>
      <c r="E14" s="6">
        <v>21.2</v>
      </c>
      <c r="F14" s="6">
        <f t="shared" si="1"/>
        <v>-3.8000000000000007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21.2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45781</v>
      </c>
      <c r="C15" s="4" t="s">
        <v>47</v>
      </c>
      <c r="D15" s="14">
        <v>0.95833333333333337</v>
      </c>
      <c r="E15" s="6">
        <v>22.1</v>
      </c>
      <c r="F15" s="6">
        <f t="shared" si="1"/>
        <v>-2.8999999999999986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22.1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45781</v>
      </c>
      <c r="C16" s="4" t="s">
        <v>47</v>
      </c>
      <c r="D16" s="14">
        <v>0.125</v>
      </c>
      <c r="E16" s="6">
        <v>20.9</v>
      </c>
      <c r="F16" s="6">
        <f t="shared" si="1"/>
        <v>-4.1000000000000014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20.9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45782</v>
      </c>
      <c r="C17" s="4" t="s">
        <v>48</v>
      </c>
      <c r="D17" s="14">
        <v>0.95833333333333337</v>
      </c>
      <c r="E17" s="6">
        <v>22.4</v>
      </c>
      <c r="F17" s="6">
        <f t="shared" si="1"/>
        <v>-2.6000000000000014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22.4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45782</v>
      </c>
      <c r="C18" s="4" t="s">
        <v>48</v>
      </c>
      <c r="D18" s="14">
        <v>0.125</v>
      </c>
      <c r="E18" s="6">
        <v>21</v>
      </c>
      <c r="F18" s="6">
        <f t="shared" si="1"/>
        <v>-4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21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45783</v>
      </c>
      <c r="C19" s="47" t="s">
        <v>42</v>
      </c>
      <c r="D19" s="14">
        <v>0.95833333333333337</v>
      </c>
      <c r="E19" s="6">
        <v>22.2</v>
      </c>
      <c r="F19" s="6">
        <f t="shared" si="1"/>
        <v>-2.8000000000000007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22.2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45783</v>
      </c>
      <c r="C20" s="47" t="s">
        <v>42</v>
      </c>
      <c r="D20" s="14">
        <v>0.125</v>
      </c>
      <c r="E20" s="6">
        <v>21.3</v>
      </c>
      <c r="F20" s="6">
        <f t="shared" si="1"/>
        <v>-3.6999999999999993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21.3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45784</v>
      </c>
      <c r="C21" s="4" t="s">
        <v>43</v>
      </c>
      <c r="D21" s="14">
        <v>0.95833333333333337</v>
      </c>
      <c r="E21" s="6">
        <v>22.5</v>
      </c>
      <c r="F21" s="6">
        <f t="shared" si="1"/>
        <v>-2.5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22.5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45784</v>
      </c>
      <c r="C22" s="4" t="s">
        <v>43</v>
      </c>
      <c r="D22" s="14">
        <v>0.125</v>
      </c>
      <c r="E22" s="6">
        <v>21.1</v>
      </c>
      <c r="F22" s="6">
        <f>E22-$D$6</f>
        <v>-3.8999999999999986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21.1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45785</v>
      </c>
      <c r="C23" s="4" t="s">
        <v>44</v>
      </c>
      <c r="D23" s="14">
        <v>0.95833333333333337</v>
      </c>
      <c r="E23" s="6">
        <v>22</v>
      </c>
      <c r="F23" s="6">
        <f>E23-$D$6</f>
        <v>-3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22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45785</v>
      </c>
      <c r="C24" s="4" t="s">
        <v>44</v>
      </c>
      <c r="D24" s="14">
        <v>0.125</v>
      </c>
      <c r="E24" s="6">
        <v>21.2</v>
      </c>
      <c r="F24" s="6">
        <f>E24-$D$6</f>
        <v>-3.8000000000000007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21.2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45786</v>
      </c>
      <c r="C25" s="4" t="s">
        <v>45</v>
      </c>
      <c r="D25" s="14">
        <v>0.95833333333333337</v>
      </c>
      <c r="E25" s="6">
        <v>22.6</v>
      </c>
      <c r="F25" s="6">
        <f t="shared" si="1"/>
        <v>-2.3999999999999986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22.6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45786</v>
      </c>
      <c r="C26" s="4" t="s">
        <v>45</v>
      </c>
      <c r="D26" s="14">
        <v>0.125</v>
      </c>
      <c r="E26" s="6">
        <v>21.4</v>
      </c>
      <c r="F26" s="6">
        <f t="shared" si="1"/>
        <v>-3.6000000000000014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21.4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45787</v>
      </c>
      <c r="C27" s="4" t="s">
        <v>46</v>
      </c>
      <c r="D27" s="14">
        <v>0.95833333333333337</v>
      </c>
      <c r="E27" s="6">
        <v>22.2</v>
      </c>
      <c r="F27" s="6">
        <f t="shared" si="1"/>
        <v>-2.8000000000000007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22.2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45787</v>
      </c>
      <c r="C28" s="4" t="s">
        <v>46</v>
      </c>
      <c r="D28" s="14">
        <v>0.125</v>
      </c>
      <c r="E28" s="6">
        <v>21</v>
      </c>
      <c r="F28" s="6">
        <f t="shared" si="1"/>
        <v>-4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21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45788</v>
      </c>
      <c r="C29" s="4" t="s">
        <v>47</v>
      </c>
      <c r="D29" s="14">
        <v>0.95833333333333337</v>
      </c>
      <c r="E29" s="6">
        <v>22</v>
      </c>
      <c r="F29" s="6">
        <f t="shared" si="1"/>
        <v>-3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22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45788</v>
      </c>
      <c r="C30" s="4" t="s">
        <v>47</v>
      </c>
      <c r="D30" s="14">
        <v>0.125</v>
      </c>
      <c r="E30" s="6">
        <v>20.9</v>
      </c>
      <c r="F30" s="6">
        <f t="shared" si="1"/>
        <v>-4.1000000000000014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20.9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45789</v>
      </c>
      <c r="C31" s="4" t="s">
        <v>48</v>
      </c>
      <c r="D31" s="14">
        <v>0.95833333333333337</v>
      </c>
      <c r="E31" s="6">
        <v>22.3</v>
      </c>
      <c r="F31" s="6">
        <f t="shared" si="1"/>
        <v>-2.6999999999999993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22.3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45789</v>
      </c>
      <c r="C32" s="4" t="s">
        <v>48</v>
      </c>
      <c r="D32" s="14">
        <v>0.125</v>
      </c>
      <c r="E32" s="6">
        <v>21.1</v>
      </c>
      <c r="F32" s="6">
        <f t="shared" si="1"/>
        <v>-3.8999999999999986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21.1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45790</v>
      </c>
      <c r="C33" s="48" t="s">
        <v>42</v>
      </c>
      <c r="D33" s="14">
        <v>0.95833333333333337</v>
      </c>
      <c r="E33" s="6">
        <v>22.1</v>
      </c>
      <c r="F33" s="6">
        <f t="shared" si="1"/>
        <v>-2.8999999999999986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22.1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45790</v>
      </c>
      <c r="C34" s="48" t="s">
        <v>42</v>
      </c>
      <c r="D34" s="14">
        <v>0.125</v>
      </c>
      <c r="E34" s="6">
        <v>20.8</v>
      </c>
      <c r="F34" s="6">
        <f t="shared" ref="F34:F38" si="3">E34-$D$6</f>
        <v>-4.1999999999999993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38" si="4">E34</f>
        <v>20.8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45791</v>
      </c>
      <c r="C35" s="48" t="s">
        <v>43</v>
      </c>
      <c r="D35" s="14">
        <v>0.95833333333333337</v>
      </c>
      <c r="E35" s="6">
        <v>22.4</v>
      </c>
      <c r="F35" s="6">
        <f t="shared" si="3"/>
        <v>-2.6000000000000014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22.4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45791</v>
      </c>
      <c r="C36" s="48" t="s">
        <v>43</v>
      </c>
      <c r="D36" s="14">
        <v>0.125</v>
      </c>
      <c r="E36" s="6">
        <v>21.3</v>
      </c>
      <c r="F36" s="6">
        <f t="shared" si="3"/>
        <v>-3.6999999999999993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21.3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45792</v>
      </c>
      <c r="C37" s="48" t="s">
        <v>44</v>
      </c>
      <c r="D37" s="14">
        <v>0.95833333333333337</v>
      </c>
      <c r="E37" s="6">
        <v>22</v>
      </c>
      <c r="F37" s="6">
        <f t="shared" si="3"/>
        <v>-3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4"/>
        <v>22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45792</v>
      </c>
      <c r="C38" s="48" t="s">
        <v>44</v>
      </c>
      <c r="D38" s="14">
        <v>0.125</v>
      </c>
      <c r="E38" s="6">
        <v>20.9</v>
      </c>
      <c r="F38" s="6">
        <f t="shared" si="3"/>
        <v>-4.1000000000000014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4"/>
        <v>20.9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>
        <v>29</v>
      </c>
      <c r="B39" s="49"/>
      <c r="C39" s="41"/>
      <c r="D39" s="50"/>
      <c r="E39" s="6"/>
      <c r="F39" s="6"/>
      <c r="G39" s="10"/>
      <c r="H39" s="7" t="s">
        <v>10</v>
      </c>
      <c r="K39" s="11"/>
      <c r="L39" s="11"/>
      <c r="M39" s="11"/>
      <c r="N39" s="11"/>
      <c r="O39" s="11"/>
      <c r="P39" s="11"/>
    </row>
    <row r="40" spans="1:16" ht="20.149999999999999" customHeight="1" x14ac:dyDescent="0.45">
      <c r="A40" s="48">
        <v>30</v>
      </c>
      <c r="B40" s="4"/>
      <c r="C40" s="41"/>
      <c r="D40" s="14"/>
      <c r="E40" s="6"/>
      <c r="F40" s="6"/>
      <c r="G40" s="10"/>
      <c r="H40" s="7" t="s">
        <v>10</v>
      </c>
      <c r="K40" s="11"/>
      <c r="L40" s="11"/>
      <c r="M40" s="11"/>
      <c r="N40" s="11"/>
      <c r="O40" s="11"/>
      <c r="P40" s="11"/>
    </row>
    <row r="41" spans="1:16" ht="20.149999999999999" customHeight="1" x14ac:dyDescent="0.45">
      <c r="A41" s="4" t="s">
        <v>25</v>
      </c>
      <c r="B41" s="12">
        <f>AVERAGE(E11:E40)</f>
        <v>21.689285714285713</v>
      </c>
      <c r="C41" s="4" t="s">
        <v>26</v>
      </c>
      <c r="D41" s="13">
        <v>25.7</v>
      </c>
      <c r="E41" s="6" t="s">
        <v>27</v>
      </c>
      <c r="F41" s="13">
        <v>22.5</v>
      </c>
      <c r="G41" s="10" t="s">
        <v>4</v>
      </c>
      <c r="H41" s="7" t="s">
        <v>10</v>
      </c>
      <c r="K41" s="11"/>
      <c r="L41" s="11"/>
      <c r="M41" s="11"/>
      <c r="N41" s="11"/>
      <c r="O41" s="11"/>
      <c r="P41" s="11"/>
    </row>
    <row r="42" spans="1:16" ht="20" customHeight="1" x14ac:dyDescent="0.45">
      <c r="A42" s="40"/>
      <c r="B42" s="41"/>
      <c r="C42" s="41"/>
      <c r="D42" s="41"/>
      <c r="H42" s="41"/>
    </row>
    <row r="43" spans="1:16" ht="17" customHeight="1" x14ac:dyDescent="0.45"/>
    <row r="44" spans="1:16" x14ac:dyDescent="0.45">
      <c r="A44" s="2" t="s">
        <v>38</v>
      </c>
      <c r="B44" s="42"/>
      <c r="C44" s="43"/>
      <c r="D44" s="43"/>
      <c r="E44" s="41"/>
      <c r="F44" s="44" t="s">
        <v>36</v>
      </c>
      <c r="H44" s="45" t="s">
        <v>37</v>
      </c>
    </row>
    <row r="47" spans="1:16" x14ac:dyDescent="0.45">
      <c r="A47" s="2" t="s">
        <v>39</v>
      </c>
      <c r="B47" s="46"/>
      <c r="C47" s="46"/>
      <c r="D47" s="46"/>
      <c r="F47" s="44" t="s">
        <v>36</v>
      </c>
      <c r="H47" s="45" t="s">
        <v>37</v>
      </c>
    </row>
    <row r="48" spans="1:16" ht="26.5" customHeight="1" x14ac:dyDescent="0.45"/>
    <row r="49" spans="1:8" ht="29" customHeight="1" x14ac:dyDescent="0.45"/>
    <row r="50" spans="1:8" ht="19.5" customHeight="1" x14ac:dyDescent="0.45"/>
    <row r="52" spans="1:8" ht="2.25" customHeight="1" x14ac:dyDescent="0.45"/>
    <row r="53" spans="1:8" customFormat="1" ht="14.5" hidden="1" x14ac:dyDescent="0.35"/>
    <row r="54" spans="1:8" customFormat="1" x14ac:dyDescent="0.35">
      <c r="A54" s="15"/>
      <c r="B54" s="16"/>
      <c r="C54" s="16"/>
      <c r="D54" s="17"/>
      <c r="E54" s="16"/>
      <c r="F54" s="17"/>
      <c r="G54" s="18"/>
      <c r="H54" s="19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9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2026-06-19T04:59:35Z</cp:lastPrinted>
  <dcterms:created xsi:type="dcterms:W3CDTF">2019-12-19T05:48:48Z</dcterms:created>
  <dcterms:modified xsi:type="dcterms:W3CDTF">2026-06-19T04:59:42Z</dcterms:modified>
</cp:coreProperties>
</file>