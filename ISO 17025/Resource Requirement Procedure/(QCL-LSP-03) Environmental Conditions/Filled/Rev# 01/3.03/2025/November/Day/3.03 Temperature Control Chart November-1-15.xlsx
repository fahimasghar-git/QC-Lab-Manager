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Nove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1" i="6"/>
  <c r="L41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<sst xmlns="http://schemas.openxmlformats.org/spreadsheetml/2006/main" count="137" uniqueCount="52">
  <si>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</si>
  <si>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</si>
  <si>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</si>
  <si>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</si>
  <si>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</si>
  <si>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</si>
  <si>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</si>
  <si>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</si>
  <si>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</si>
  <si>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</si>
  <si>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</si>
  <si>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</si>
  <si>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</si>
  <si>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</si>
  <si>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</si>
  <si>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</si>
  <si>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</si>
  <si>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</si>
  <si>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</si>
  <si>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</si>
  <si>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</si>
  <si>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</si>
  <si>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</si>
  <si>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</si>
  <si>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</si>
  <si>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</si>
  <si>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</si>
  <si>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</si>
  <si>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</si>
  <si>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</si>
  <si>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</si>
  <si>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</si>
  <si>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</si>
  <si>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</si>
  <si>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</si>
  <si>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</si>
  <si>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</si>
  <si>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</si>
  <si>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</si>
  <si>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</si>
  <si>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</si>
  <si>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</si>
  <si>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</si>
  <si>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</si>
  <si>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</si>
  <si>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</si>
  <si>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</si>
  <si>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</si>
  <si>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</si>
  <si>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</si>
  <si>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</si>
  <si>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November-2025 (First Half)Day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</si>
</sst>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6" fontId="2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23.6</c:v>
                </c:pt>
                <c:pt idx="1">
                  <c:v>24.9</c:v>
                </c:pt>
                <c:pt idx="2">
                  <c:v>22.9</c:v>
                </c:pt>
                <c:pt idx="3">
                  <c:v>24.1</c:v>
                </c:pt>
                <c:pt idx="4">
                  <c:v>23.2</c:v>
                </c:pt>
                <c:pt idx="5">
                  <c:v>25.1</c:v>
                </c:pt>
                <c:pt idx="6">
                  <c:v>23.5</c:v>
                </c:pt>
                <c:pt idx="7">
                  <c:v>24.6</c:v>
                </c:pt>
                <c:pt idx="8">
                  <c:v>24.7</c:v>
                </c:pt>
                <c:pt idx="9">
                  <c:v>25.3</c:v>
                </c:pt>
                <c:pt idx="10">
                  <c:v>24</c:v>
                </c:pt>
                <c:pt idx="11">
                  <c:v>24.8</c:v>
                </c:pt>
                <c:pt idx="12">
                  <c:v>24.4</c:v>
                </c:pt>
                <c:pt idx="13">
                  <c:v>25.1</c:v>
                </c:pt>
                <c:pt idx="14">
                  <c:v>23.9</c:v>
                </c:pt>
                <c:pt idx="15">
                  <c:v>24.5</c:v>
                </c:pt>
                <c:pt idx="16">
                  <c:v>25.8</c:v>
                </c:pt>
                <c:pt idx="17">
                  <c:v>25.1</c:v>
                </c:pt>
                <c:pt idx="18">
                  <c:v>24.2</c:v>
                </c:pt>
                <c:pt idx="19">
                  <c:v>24.6</c:v>
                </c:pt>
                <c:pt idx="20">
                  <c:v>23.5</c:v>
                </c:pt>
                <c:pt idx="21">
                  <c:v>25.1</c:v>
                </c:pt>
                <c:pt idx="22">
                  <c:v>25.1</c:v>
                </c:pt>
                <c:pt idx="23">
                  <c:v>26.2</c:v>
                </c:pt>
                <c:pt idx="24">
                  <c:v>23.7</c:v>
                </c:pt>
                <c:pt idx="25">
                  <c:v>25.1</c:v>
                </c:pt>
                <c:pt idx="26">
                  <c:v>24.3</c:v>
                </c:pt>
                <c:pt idx="27">
                  <c:v>25.7</c:v>
                </c:pt>
                <c:pt idx="28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2" zoomScaleNormal="100" zoomScaleSheetLayoutView="100" workbookViewId="0">
      <selection activeCell="H42" sqref="H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4"/>
      <c r="B1" s="55"/>
      <c r="C1" s="60" t="s">
        <v>1</v>
      </c>
      <c r="D1" s="60"/>
      <c r="E1" s="60"/>
      <c r="F1" s="61"/>
      <c r="G1" s="19" t="s">
        <v>28</v>
      </c>
      <c r="H1" s="20" t="s">
        <v>30</v>
      </c>
    </row>
    <row r="2" spans="1:16" customFormat="1" ht="16.5" customHeight="1" thickTop="1" thickBot="1" x14ac:dyDescent="0.4">
      <c r="A2" s="56"/>
      <c r="B2" s="57"/>
      <c r="C2" s="62"/>
      <c r="D2" s="62"/>
      <c r="E2" s="62"/>
      <c r="F2" s="63"/>
      <c r="G2" s="21" t="s">
        <v>29</v>
      </c>
      <c r="H2" s="22">
        <v>45301</v>
      </c>
    </row>
    <row r="3" spans="1:16" ht="13" customHeight="1" thickTop="1" thickBot="1" x14ac:dyDescent="0.5">
      <c r="A3" s="58"/>
      <c r="B3" s="59"/>
      <c r="C3" s="23"/>
      <c r="D3" s="24"/>
      <c r="E3" s="24"/>
      <c r="F3" s="24"/>
      <c r="G3" s="21" t="s">
        <v>35</v>
      </c>
      <c r="H3" s="25">
        <v>1</v>
      </c>
    </row>
    <row r="4" spans="1:16" ht="16.5" customHeight="1" thickTop="1" x14ac:dyDescent="0.45">
      <c r="A4" s="26" t="s">
        <v>2</v>
      </c>
      <c r="B4" s="27"/>
      <c r="C4" s="28"/>
      <c r="D4" s="29" t="s">
        <v>18</v>
      </c>
      <c r="E4" s="27"/>
      <c r="F4" s="26" t="s">
        <v>13</v>
      </c>
      <c r="G4" s="30" t="s">
        <v>51</v>
      </c>
      <c r="H4" s="31"/>
    </row>
    <row r="5" spans="1:16" ht="17" customHeight="1" x14ac:dyDescent="0.45">
      <c r="A5" s="26" t="s">
        <v>11</v>
      </c>
      <c r="B5" s="27"/>
      <c r="C5" s="29"/>
      <c r="D5" s="29" t="s">
        <v>23</v>
      </c>
      <c r="E5" s="32"/>
      <c r="F5" s="33" t="s">
        <v>12</v>
      </c>
      <c r="G5" s="26" t="s">
        <v>34</v>
      </c>
      <c r="H5" s="31"/>
    </row>
    <row r="6" spans="1:16" ht="14.5" customHeight="1" x14ac:dyDescent="0.45">
      <c r="A6" s="26" t="s">
        <v>31</v>
      </c>
      <c r="B6" s="27"/>
      <c r="C6" s="29"/>
      <c r="D6" s="34">
        <v>25</v>
      </c>
      <c r="E6" s="35"/>
      <c r="F6" s="33" t="s">
        <v>14</v>
      </c>
      <c r="G6" s="38" t="s">
        <v>50</v>
      </c>
      <c r="H6" s="35"/>
    </row>
    <row r="7" spans="1:16" x14ac:dyDescent="0.45">
      <c r="A7" s="26" t="s">
        <v>32</v>
      </c>
      <c r="B7" s="27"/>
      <c r="C7" s="29"/>
      <c r="D7" s="34">
        <v>20</v>
      </c>
      <c r="E7" s="37"/>
      <c r="F7" s="33" t="s">
        <v>40</v>
      </c>
      <c r="G7" s="36">
        <v>30</v>
      </c>
      <c r="H7" s="37"/>
    </row>
    <row r="8" spans="1:16" x14ac:dyDescent="0.45">
      <c r="A8" s="26" t="s">
        <v>33</v>
      </c>
      <c r="B8" s="27"/>
      <c r="C8" s="29"/>
      <c r="D8" s="34">
        <v>15</v>
      </c>
      <c r="E8" s="37"/>
      <c r="F8" s="33" t="s">
        <v>41</v>
      </c>
      <c r="G8" s="36">
        <v>35</v>
      </c>
      <c r="H8" s="37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45962</v>
      </c>
      <c r="C11" s="4" t="s">
        <v>46</v>
      </c>
      <c r="D11" s="13">
        <v>0.45833333333333331</v>
      </c>
      <c r="E11" s="6">
        <v>23.6</v>
      </c>
      <c r="F11" s="6">
        <f>E11-D6</f>
        <v>-1.3999999999999986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45962</v>
      </c>
      <c r="C12" s="4" t="s">
        <v>46</v>
      </c>
      <c r="D12" s="13">
        <v>0.625</v>
      </c>
      <c r="E12" s="6">
        <v>24.9</v>
      </c>
      <c r="F12" s="6">
        <f t="shared" ref="F12:F33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45963</v>
      </c>
      <c r="C13" s="4" t="s">
        <v>47</v>
      </c>
      <c r="D13" s="13">
        <v>0.45833333333333331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45963</v>
      </c>
      <c r="C14" s="4" t="s">
        <v>47</v>
      </c>
      <c r="D14" s="13">
        <v>0.625</v>
      </c>
      <c r="E14" s="6">
        <v>24.1</v>
      </c>
      <c r="F14" s="6">
        <f t="shared" si="1"/>
        <v>-0.89999999999999858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45964</v>
      </c>
      <c r="C15" s="4" t="s">
        <v>48</v>
      </c>
      <c r="D15" s="13">
        <v>0.45833333333333331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45964</v>
      </c>
      <c r="C16" s="4" t="s">
        <v>48</v>
      </c>
      <c r="D16" s="13">
        <v>0.625</v>
      </c>
      <c r="E16" s="6">
        <v>25.1</v>
      </c>
      <c r="F16" s="6">
        <f t="shared" si="1"/>
        <v>0.10000000000000142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45965</v>
      </c>
      <c r="C17" s="4" t="s">
        <v>42</v>
      </c>
      <c r="D17" s="13">
        <v>0.45833333333333331</v>
      </c>
      <c r="E17" s="6">
        <v>23.5</v>
      </c>
      <c r="F17" s="6">
        <f t="shared" si="1"/>
        <v>-1.5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45965</v>
      </c>
      <c r="C18" s="4" t="s">
        <v>42</v>
      </c>
      <c r="D18" s="13">
        <v>0.625</v>
      </c>
      <c r="E18" s="6">
        <v>24.6</v>
      </c>
      <c r="F18" s="6">
        <f t="shared" si="1"/>
        <v>-0.39999999999999858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45966</v>
      </c>
      <c r="C19" s="4" t="s">
        <v>43</v>
      </c>
      <c r="D19" s="13">
        <v>0.45833333333333331</v>
      </c>
      <c r="E19" s="6">
        <v>24.7</v>
      </c>
      <c r="F19" s="6">
        <f t="shared" si="1"/>
        <v>-0.30000000000000071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45966</v>
      </c>
      <c r="C20" s="4" t="s">
        <v>43</v>
      </c>
      <c r="D20" s="13">
        <v>0.625</v>
      </c>
      <c r="E20" s="6">
        <v>25.3</v>
      </c>
      <c r="F20" s="6">
        <f t="shared" si="1"/>
        <v>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45967</v>
      </c>
      <c r="C21" s="4" t="s">
        <v>44</v>
      </c>
      <c r="D21" s="13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45967</v>
      </c>
      <c r="C22" s="4" t="s">
        <v>44</v>
      </c>
      <c r="D22" s="13">
        <v>0.625</v>
      </c>
      <c r="E22" s="6">
        <v>24.8</v>
      </c>
      <c r="F22" s="6">
        <f>E22-$D$6</f>
        <v>-0.19999999999999929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45968</v>
      </c>
      <c r="C23" s="40" t="s">
        <v>45</v>
      </c>
      <c r="D23" s="13">
        <v>0.45833333333333331</v>
      </c>
      <c r="E23" s="6">
        <v>24.4</v>
      </c>
      <c r="F23" s="6">
        <f>E23-$D$6</f>
        <v>-0.60000000000000142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45968</v>
      </c>
      <c r="C24" s="40" t="s">
        <v>45</v>
      </c>
      <c r="D24" s="13">
        <v>0.625</v>
      </c>
      <c r="E24" s="6">
        <v>25.1</v>
      </c>
      <c r="F24" s="6">
        <f>E24-$D$6</f>
        <v>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45969</v>
      </c>
      <c r="C25" s="40" t="s">
        <v>46</v>
      </c>
      <c r="D25" s="13">
        <v>0.45833333333333331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45969</v>
      </c>
      <c r="C26" s="40" t="s">
        <v>46</v>
      </c>
      <c r="D26" s="13">
        <v>0.625</v>
      </c>
      <c r="E26" s="6">
        <v>24.5</v>
      </c>
      <c r="F26" s="6">
        <f t="shared" si="1"/>
        <v>-0.5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45970</v>
      </c>
      <c r="C27" s="40" t="s">
        <v>47</v>
      </c>
      <c r="D27" s="13">
        <v>0.45833333333333331</v>
      </c>
      <c r="E27" s="6">
        <v>25.8</v>
      </c>
      <c r="F27" s="6">
        <f t="shared" si="1"/>
        <v>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45970</v>
      </c>
      <c r="C28" s="40" t="s">
        <v>47</v>
      </c>
      <c r="D28" s="13">
        <v>0.625</v>
      </c>
      <c r="E28" s="6">
        <v>25.1</v>
      </c>
      <c r="F28" s="6">
        <f t="shared" si="1"/>
        <v>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45971</v>
      </c>
      <c r="C29" s="40" t="s">
        <v>48</v>
      </c>
      <c r="D29" s="13">
        <v>0.45833333333333331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45971</v>
      </c>
      <c r="C30" s="40" t="s">
        <v>48</v>
      </c>
      <c r="D30" s="13">
        <v>0.625</v>
      </c>
      <c r="E30" s="6">
        <v>24.6</v>
      </c>
      <c r="F30" s="6">
        <f t="shared" si="1"/>
        <v>-0.39999999999999858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45972</v>
      </c>
      <c r="C31" s="40" t="s">
        <v>42</v>
      </c>
      <c r="D31" s="13">
        <v>0.45833333333333331</v>
      </c>
      <c r="E31" s="6">
        <v>23.5</v>
      </c>
      <c r="F31" s="6">
        <f t="shared" si="1"/>
        <v>-1.5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45972</v>
      </c>
      <c r="C32" s="40" t="s">
        <v>42</v>
      </c>
      <c r="D32" s="13">
        <v>0.625</v>
      </c>
      <c r="E32" s="6">
        <v>25.1</v>
      </c>
      <c r="F32" s="6">
        <f t="shared" si="1"/>
        <v>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45973</v>
      </c>
      <c r="C33" s="40" t="s">
        <v>43</v>
      </c>
      <c r="D33" s="13">
        <v>0.45833333333333331</v>
      </c>
      <c r="E33" s="6">
        <v>25.1</v>
      </c>
      <c r="F33" s="6">
        <f t="shared" si="1"/>
        <v>0.10000000000000142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45973</v>
      </c>
      <c r="C34" s="40" t="s">
        <v>43</v>
      </c>
      <c r="D34" s="13">
        <v>0.625</v>
      </c>
      <c r="E34" s="6">
        <v>26.2</v>
      </c>
      <c r="F34" s="6">
        <f t="shared" ref="F34:F39" si="3">E34-$D$6</f>
        <v>1.1999999999999993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26.2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45974</v>
      </c>
      <c r="C35" s="4" t="s">
        <v>44</v>
      </c>
      <c r="D35" s="13" t="s">
        <v>49</v>
      </c>
      <c r="E35" s="6">
        <v>23.7</v>
      </c>
      <c r="F35" s="6">
        <f t="shared" si="3"/>
        <v>-1.3000000000000007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45974</v>
      </c>
      <c r="C36" s="4" t="s">
        <v>44</v>
      </c>
      <c r="D36" s="13">
        <v>0.625</v>
      </c>
      <c r="E36" s="6">
        <v>25.1</v>
      </c>
      <c r="F36" s="6">
        <f t="shared" si="3"/>
        <v>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45975</v>
      </c>
      <c r="C37" s="40" t="s">
        <v>45</v>
      </c>
      <c r="D37" s="13">
        <v>0.45833333333333331</v>
      </c>
      <c r="E37" s="6">
        <v>24.3</v>
      </c>
      <c r="F37" s="6">
        <f t="shared" si="3"/>
        <v>-0.69999999999999929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45975</v>
      </c>
      <c r="C38" s="40" t="s">
        <v>45</v>
      </c>
      <c r="D38" s="13">
        <v>0.625</v>
      </c>
      <c r="E38" s="6">
        <v>25.7</v>
      </c>
      <c r="F38" s="6">
        <f t="shared" si="3"/>
        <v>0.69999999999999929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7">
        <v>29</v>
      </c>
      <c r="B39" s="48">
        <v>45976</v>
      </c>
      <c r="C39" s="40" t="s">
        <v>46</v>
      </c>
      <c r="D39" s="49">
        <v>0.45833333333333331</v>
      </c>
      <c r="E39" s="50">
        <v>22.9</v>
      </c>
      <c r="F39" s="50">
        <f t="shared" si="3"/>
        <v>-2.1000000000000014</v>
      </c>
      <c r="G39" s="51" t="s">
        <v>4</v>
      </c>
      <c r="H39" s="52" t="s">
        <v>10</v>
      </c>
      <c r="J39" s="2">
        <f>A39</f>
        <v>29</v>
      </c>
      <c r="K39" s="11">
        <v>25</v>
      </c>
      <c r="L39" s="11">
        <f>E39</f>
        <v>22.9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6">
        <v>30</v>
      </c>
      <c r="B40" s="4">
        <v>45976</v>
      </c>
      <c r="C40" s="46" t="s">
        <v>46</v>
      </c>
      <c r="D40" s="13">
        <v>0.625</v>
      </c>
      <c r="E40" s="6">
        <v>25.1</v>
      </c>
      <c r="F40" s="6">
        <f>E40-$D$6</f>
        <v>0.10000000000000142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19" customHeight="1" x14ac:dyDescent="0.45">
      <c r="A41" s="53"/>
      <c r="B41" s="53"/>
      <c r="C41" s="53"/>
      <c r="D41" s="53"/>
      <c r="E41" s="53"/>
      <c r="F41" s="53"/>
      <c r="G41" s="53"/>
      <c r="H41" s="53"/>
      <c r="J41" s="2">
        <f>A40</f>
        <v>30</v>
      </c>
      <c r="K41" s="11">
        <v>25</v>
      </c>
      <c r="L41" s="11">
        <f>E40</f>
        <v>25.1</v>
      </c>
      <c r="M41" s="11">
        <v>20</v>
      </c>
      <c r="N41" s="11">
        <v>30</v>
      </c>
      <c r="O41" s="11">
        <v>15</v>
      </c>
      <c r="P41" s="11">
        <v>35</v>
      </c>
    </row>
    <row r="42" spans="1:16" ht="23" customHeight="1" x14ac:dyDescent="0.45">
      <c r="A42" s="4" t="s">
        <v>25</v>
      </c>
      <c r="B42" s="12">
        <f>AVERAGE(E11:E40)</f>
        <v>24.500000000000004</v>
      </c>
      <c r="C42" s="4" t="s">
        <v>26</v>
      </c>
      <c r="D42" s="6">
        <v>26.7</v>
      </c>
      <c r="E42" s="6" t="s">
        <v>27</v>
      </c>
      <c r="F42" s="6">
        <v>22.9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>
      <c r="A43" s="39"/>
      <c r="B43" s="40"/>
      <c r="C43" s="40"/>
      <c r="D43" s="40"/>
      <c r="H43" s="40"/>
    </row>
    <row r="44" spans="1:16" ht="17" customHeight="1" x14ac:dyDescent="0.45"/>
    <row r="45" spans="1:16" x14ac:dyDescent="0.45">
      <c r="A45" s="2" t="s">
        <v>38</v>
      </c>
      <c r="B45" s="41"/>
      <c r="C45" s="42"/>
      <c r="D45" s="42"/>
    </row>
    <row r="46" spans="1:16" x14ac:dyDescent="0.45">
      <c r="E46" s="40"/>
      <c r="F46" s="43" t="s">
        <v>36</v>
      </c>
      <c r="H46" s="44" t="s">
        <v>37</v>
      </c>
    </row>
    <row r="48" spans="1:16" x14ac:dyDescent="0.45">
      <c r="A48" s="2" t="s">
        <v>39</v>
      </c>
      <c r="B48" s="45"/>
      <c r="C48" s="45"/>
      <c r="D48" s="45"/>
    </row>
    <row r="49" spans="1:8" ht="26.5" customHeight="1" x14ac:dyDescent="0.45">
      <c r="F49" s="43" t="s">
        <v>36</v>
      </c>
      <c r="H49" s="44" t="s">
        <v>37</v>
      </c>
    </row>
    <row r="50" spans="1:8" ht="29" customHeight="1" x14ac:dyDescent="0.45"/>
    <row r="51" spans="1:8" ht="19.5" customHeight="1" x14ac:dyDescent="0.45"/>
    <row r="53" spans="1:8" ht="2.25" customHeight="1" x14ac:dyDescent="0.45"/>
    <row r="54" spans="1:8" customFormat="1" ht="14.5" hidden="1" x14ac:dyDescent="0.35"/>
    <row r="55" spans="1:8" customFormat="1" x14ac:dyDescent="0.35">
      <c r="A55" s="14"/>
      <c r="B55" s="15"/>
      <c r="C55" s="15"/>
      <c r="D55" s="16"/>
      <c r="E55" s="15"/>
      <c r="F55" s="16"/>
      <c r="G55" s="17"/>
      <c r="H55" s="18"/>
    </row>
  </sheetData>
  <mergeCells count="2">
    <mergeCell ref="A1:B3"/>
    <mergeCell ref="C1:F2"/>
  </mergeCells>
  <printOptions horizontalCentered="1" verticalCentered="1"/>
  <pageMargins left="0.40055555555555555" right="0.61055555555555552" top="0.75" bottom="0.75" header="0.3" footer="0.3"/>
  <pageSetup paperSize="9" scale="56" fitToWidth="0" orientation="portrait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2026-06-19T06:39:58Z</cp:lastPrinted>
  <dcterms:created xsi:type="dcterms:W3CDTF">2019-12-19T05:48:48Z</dcterms:created>
  <dcterms:modified xsi:type="dcterms:W3CDTF">2026-06-19T06:40:02Z</dcterms:modified>
</cp:coreProperties>
</file>