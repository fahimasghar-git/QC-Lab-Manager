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anu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6" l="1"/>
  <c r="J40" i="6"/>
  <c r="L39" i="6"/>
  <c r="J39" i="6"/>
  <c r="B41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<sst xmlns="http://schemas.openxmlformats.org/spreadsheetml/2006/main" count="136" uniqueCount="51">
  <si>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</si>
  <si>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</si>
  <si>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</si>
  <si>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</si>
  <si>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</si>
  <si>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</si>
  <si>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</si>
  <si>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</si>
  <si>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</si>
  <si>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</si>
  <si>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</si>
  <si>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</si>
  <si>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</si>
  <si>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</si>
  <si>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</si>
  <si>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</si>
  <si>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</si>
  <si>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</si>
  <si>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</si>
  <si>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</si>
  <si>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</si>
  <si>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</si>
  <si>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</si>
  <si>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</si>
  <si>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</si>
  <si>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</si>
  <si>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</si>
  <si>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</si>
  <si>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</si>
  <si>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</si>
  <si>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</si>
  <si>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</si>
  <si>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</si>
  <si>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</si>
  <si>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</si>
  <si>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</si>
  <si>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</si>
  <si>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</si>
  <si>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</si>
  <si>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</si>
  <si>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</si>
  <si>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</si>
  <si>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</si>
  <si>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</si>
  <si>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</si>
  <si>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</si>
  <si>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</si>
  <si>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</si>
  <si>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</si>
  <si>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January-2025 (First Half)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</si>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</sst>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22.8</c:v>
                </c:pt>
                <c:pt idx="1">
                  <c:v>23.4</c:v>
                </c:pt>
                <c:pt idx="2">
                  <c:v>23</c:v>
                </c:pt>
                <c:pt idx="3">
                  <c:v>24.2</c:v>
                </c:pt>
                <c:pt idx="4">
                  <c:v>22.6</c:v>
                </c:pt>
                <c:pt idx="5">
                  <c:v>23.4</c:v>
                </c:pt>
                <c:pt idx="6">
                  <c:v>23.4</c:v>
                </c:pt>
                <c:pt idx="7">
                  <c:v>24.8</c:v>
                </c:pt>
                <c:pt idx="8">
                  <c:v>23.7</c:v>
                </c:pt>
                <c:pt idx="9">
                  <c:v>24.8</c:v>
                </c:pt>
                <c:pt idx="10">
                  <c:v>22.8</c:v>
                </c:pt>
                <c:pt idx="11">
                  <c:v>24</c:v>
                </c:pt>
                <c:pt idx="12">
                  <c:v>23.1</c:v>
                </c:pt>
                <c:pt idx="13">
                  <c:v>24.3</c:v>
                </c:pt>
                <c:pt idx="14">
                  <c:v>23.9</c:v>
                </c:pt>
                <c:pt idx="15">
                  <c:v>25.2</c:v>
                </c:pt>
                <c:pt idx="16">
                  <c:v>24.7</c:v>
                </c:pt>
                <c:pt idx="17">
                  <c:v>25.4</c:v>
                </c:pt>
                <c:pt idx="18">
                  <c:v>24.2</c:v>
                </c:pt>
                <c:pt idx="19">
                  <c:v>23.8</c:v>
                </c:pt>
                <c:pt idx="20">
                  <c:v>25.3</c:v>
                </c:pt>
                <c:pt idx="21">
                  <c:v>24.2</c:v>
                </c:pt>
                <c:pt idx="22">
                  <c:v>25</c:v>
                </c:pt>
                <c:pt idx="23">
                  <c:v>24.6</c:v>
                </c:pt>
                <c:pt idx="24">
                  <c:v>26.2</c:v>
                </c:pt>
                <c:pt idx="25">
                  <c:v>24.9</c:v>
                </c:pt>
                <c:pt idx="26">
                  <c:v>24.6</c:v>
                </c:pt>
                <c:pt idx="27">
                  <c:v>25.3</c:v>
                </c:pt>
                <c:pt idx="28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view="pageLayout" zoomScale="80" zoomScaleNormal="100" zoomScaleSheetLayoutView="100" zoomScalePageLayoutView="80" workbookViewId="0">
      <selection activeCell="F5" sqref="F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49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45658</v>
      </c>
      <c r="C11" s="4" t="s">
        <v>43</v>
      </c>
      <c r="D11" s="14">
        <v>0.95833333333333337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45658</v>
      </c>
      <c r="C12" s="4" t="s">
        <v>43</v>
      </c>
      <c r="D12" s="14">
        <v>0.125</v>
      </c>
      <c r="E12" s="6">
        <v>23.4</v>
      </c>
      <c r="F12" s="6">
        <f t="shared" ref="F12:F33" si="1">E12-$D$6</f>
        <v>-1.6000000000000014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45659</v>
      </c>
      <c r="C13" s="4" t="s">
        <v>44</v>
      </c>
      <c r="D13" s="14">
        <v>0.95833333333333337</v>
      </c>
      <c r="E13" s="6">
        <v>23</v>
      </c>
      <c r="F13" s="6">
        <f t="shared" si="1"/>
        <v>-2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45659</v>
      </c>
      <c r="C14" s="4" t="s">
        <v>44</v>
      </c>
      <c r="D14" s="14">
        <v>0.125</v>
      </c>
      <c r="E14" s="6">
        <v>24.2</v>
      </c>
      <c r="F14" s="6">
        <f t="shared" si="1"/>
        <v>-0.80000000000000071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45660</v>
      </c>
      <c r="C15" s="4" t="s">
        <v>45</v>
      </c>
      <c r="D15" s="14">
        <v>0.95833333333333337</v>
      </c>
      <c r="E15" s="6">
        <v>22.6</v>
      </c>
      <c r="F15" s="6">
        <f t="shared" si="1"/>
        <v>-2.3999999999999986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45660</v>
      </c>
      <c r="C16" s="4" t="s">
        <v>45</v>
      </c>
      <c r="D16" s="14">
        <v>0.125</v>
      </c>
      <c r="E16" s="6">
        <v>23.4</v>
      </c>
      <c r="F16" s="6">
        <f t="shared" si="1"/>
        <v>-1.6000000000000014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45661</v>
      </c>
      <c r="C17" s="4" t="s">
        <v>46</v>
      </c>
      <c r="D17" s="14">
        <v>0.95833333333333337</v>
      </c>
      <c r="E17" s="6">
        <v>23.4</v>
      </c>
      <c r="F17" s="6">
        <f t="shared" si="1"/>
        <v>-1.6000000000000014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45661</v>
      </c>
      <c r="C18" s="4" t="s">
        <v>46</v>
      </c>
      <c r="D18" s="14">
        <v>0.125</v>
      </c>
      <c r="E18" s="6">
        <v>24.8</v>
      </c>
      <c r="F18" s="6">
        <f t="shared" si="1"/>
        <v>-0.19999999999999929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45662</v>
      </c>
      <c r="C19" s="4" t="s">
        <v>47</v>
      </c>
      <c r="D19" s="14">
        <v>0.95833333333333337</v>
      </c>
      <c r="E19" s="6">
        <v>23.7</v>
      </c>
      <c r="F19" s="6">
        <f t="shared" si="1"/>
        <v>-1.3000000000000007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45662</v>
      </c>
      <c r="C20" s="4" t="s">
        <v>47</v>
      </c>
      <c r="D20" s="14">
        <v>0.125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45663</v>
      </c>
      <c r="C21" s="4" t="s">
        <v>48</v>
      </c>
      <c r="D21" s="14">
        <v>0.95833333333333337</v>
      </c>
      <c r="E21" s="6">
        <v>22.8</v>
      </c>
      <c r="F21" s="6">
        <f t="shared" si="1"/>
        <v>-2.1999999999999993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22.8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45663</v>
      </c>
      <c r="C22" s="4" t="s">
        <v>48</v>
      </c>
      <c r="D22" s="14">
        <v>0.125</v>
      </c>
      <c r="E22" s="6">
        <v>24</v>
      </c>
      <c r="F22" s="6">
        <f>E22-$D$6</f>
        <v>-1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45664</v>
      </c>
      <c r="C23" s="4" t="s">
        <v>42</v>
      </c>
      <c r="D23" s="14">
        <v>0.95833333333333337</v>
      </c>
      <c r="E23" s="6">
        <v>23.1</v>
      </c>
      <c r="F23" s="6">
        <f>E23-$D$6</f>
        <v>-1.8999999999999986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45664</v>
      </c>
      <c r="C24" s="4" t="s">
        <v>42</v>
      </c>
      <c r="D24" s="14">
        <v>0.125</v>
      </c>
      <c r="E24" s="6">
        <v>24.3</v>
      </c>
      <c r="F24" s="6">
        <f>E24-$D$6</f>
        <v>-0.69999999999999929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45665</v>
      </c>
      <c r="C25" s="4" t="s">
        <v>43</v>
      </c>
      <c r="D25" s="14">
        <v>0.95833333333333337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45665</v>
      </c>
      <c r="C26" s="4" t="s">
        <v>43</v>
      </c>
      <c r="D26" s="14">
        <v>0.125</v>
      </c>
      <c r="E26" s="6">
        <v>25.2</v>
      </c>
      <c r="F26" s="6">
        <f t="shared" si="1"/>
        <v>0.19999999999999929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45666</v>
      </c>
      <c r="C27" s="4" t="s">
        <v>44</v>
      </c>
      <c r="D27" s="14">
        <v>0.95833333333333337</v>
      </c>
      <c r="E27" s="6">
        <v>24.7</v>
      </c>
      <c r="F27" s="6">
        <f t="shared" si="1"/>
        <v>-0.30000000000000071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45666</v>
      </c>
      <c r="C28" s="4" t="s">
        <v>44</v>
      </c>
      <c r="D28" s="14">
        <v>0.125</v>
      </c>
      <c r="E28" s="6">
        <v>25.4</v>
      </c>
      <c r="F28" s="6">
        <f t="shared" si="1"/>
        <v>0.39999999999999858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45667</v>
      </c>
      <c r="C29" s="4" t="s">
        <v>45</v>
      </c>
      <c r="D29" s="14">
        <v>0.95833333333333337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45667</v>
      </c>
      <c r="C30" s="4" t="s">
        <v>45</v>
      </c>
      <c r="D30" s="14">
        <v>0.125</v>
      </c>
      <c r="E30" s="6">
        <v>23.8</v>
      </c>
      <c r="F30" s="6">
        <f t="shared" si="1"/>
        <v>-1.1999999999999993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45668</v>
      </c>
      <c r="C31" s="4" t="s">
        <v>46</v>
      </c>
      <c r="D31" s="14">
        <v>0.95833333333333337</v>
      </c>
      <c r="E31" s="6">
        <v>25.3</v>
      </c>
      <c r="F31" s="6">
        <f t="shared" si="1"/>
        <v>0.30000000000000071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45668</v>
      </c>
      <c r="C32" s="4" t="s">
        <v>46</v>
      </c>
      <c r="D32" s="14">
        <v>0.125</v>
      </c>
      <c r="E32" s="6">
        <v>24.2</v>
      </c>
      <c r="F32" s="6">
        <f t="shared" si="1"/>
        <v>-0.80000000000000071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24.2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45669</v>
      </c>
      <c r="C33" s="4" t="s">
        <v>47</v>
      </c>
      <c r="D33" s="14">
        <v>0.95833333333333337</v>
      </c>
      <c r="E33" s="6">
        <v>25</v>
      </c>
      <c r="F33" s="6">
        <f t="shared" si="1"/>
        <v>0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45669</v>
      </c>
      <c r="C34" s="4" t="s">
        <v>47</v>
      </c>
      <c r="D34" s="14">
        <v>0.125</v>
      </c>
      <c r="E34" s="6">
        <v>24.6</v>
      </c>
      <c r="F34" s="6">
        <f t="shared" ref="F34:F37" si="3">E34-$D$6</f>
        <v>-0.39999999999999858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24.6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45670</v>
      </c>
      <c r="C35" s="4" t="s">
        <v>48</v>
      </c>
      <c r="D35" s="14">
        <v>0.95833333333333337</v>
      </c>
      <c r="E35" s="6">
        <v>26.2</v>
      </c>
      <c r="F35" s="6">
        <f t="shared" si="3"/>
        <v>1.1999999999999993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26.2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45670</v>
      </c>
      <c r="C36" s="4" t="s">
        <v>48</v>
      </c>
      <c r="D36" s="14">
        <v>0.125</v>
      </c>
      <c r="E36" s="6">
        <v>24.9</v>
      </c>
      <c r="F36" s="6">
        <f t="shared" si="3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>
        <v>27</v>
      </c>
      <c r="B37" s="4">
        <v>45671</v>
      </c>
      <c r="C37" s="4" t="s">
        <v>42</v>
      </c>
      <c r="D37" s="14">
        <v>0.95833333333333337</v>
      </c>
      <c r="E37" s="6">
        <v>24.6</v>
      </c>
      <c r="F37" s="6">
        <f t="shared" si="3"/>
        <v>-0.39999999999999858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24.6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49999999999999" customHeight="1" x14ac:dyDescent="0.45">
      <c r="A38" s="5">
        <v>28</v>
      </c>
      <c r="B38" s="4">
        <v>45671</v>
      </c>
      <c r="C38" s="4" t="s">
        <v>42</v>
      </c>
      <c r="D38" s="14">
        <v>0.125</v>
      </c>
      <c r="E38" s="6">
        <v>25.3</v>
      </c>
      <c r="F38" s="6">
        <f>E38-$D$6</f>
        <v>0.30000000000000071</v>
      </c>
      <c r="G38" s="10" t="s">
        <v>4</v>
      </c>
      <c r="H38" s="49" t="s">
        <v>10</v>
      </c>
      <c r="I38" s="50"/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49999999999999" customHeight="1" x14ac:dyDescent="0.45">
      <c r="A39" s="47">
        <v>29</v>
      </c>
      <c r="B39" s="4">
        <v>45672</v>
      </c>
      <c r="C39" s="4" t="s">
        <v>43</v>
      </c>
      <c r="D39" s="14">
        <v>0.95833333333333337</v>
      </c>
      <c r="E39" s="6">
        <v>25.7</v>
      </c>
      <c r="F39" s="6">
        <f t="shared" ref="F39" si="5">E39-$D$6</f>
        <v>0.69999999999999929</v>
      </c>
      <c r="G39" s="10" t="s">
        <v>4</v>
      </c>
      <c r="H39" s="7" t="s">
        <v>10</v>
      </c>
      <c r="I39" s="48"/>
      <c r="J39" s="2">
        <f t="shared" ref="J39" si="6">A39</f>
        <v>29</v>
      </c>
      <c r="K39" s="11">
        <v>25</v>
      </c>
      <c r="L39" s="11">
        <f t="shared" ref="L39" si="7">E39</f>
        <v>25.7</v>
      </c>
      <c r="M39" s="11">
        <v>20</v>
      </c>
      <c r="N39" s="11">
        <v>30</v>
      </c>
      <c r="O39" s="11">
        <v>15</v>
      </c>
      <c r="P39" s="11">
        <v>35</v>
      </c>
      <c r="Q39" s="11"/>
    </row>
    <row r="40" spans="1:17" ht="20.149999999999999" customHeight="1" x14ac:dyDescent="0.45">
      <c r="A40" s="41">
        <v>30</v>
      </c>
      <c r="B40" s="4">
        <v>45672</v>
      </c>
      <c r="C40" s="4" t="s">
        <v>43</v>
      </c>
      <c r="D40" s="14">
        <v>0.125</v>
      </c>
      <c r="E40" s="6">
        <v>24.5</v>
      </c>
      <c r="F40" s="6">
        <f>E40-$D$6</f>
        <v>-0.5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24.5</v>
      </c>
      <c r="M40" s="11">
        <v>20</v>
      </c>
      <c r="N40" s="11">
        <v>30</v>
      </c>
      <c r="O40" s="11">
        <v>15</v>
      </c>
      <c r="P40" s="11">
        <v>35</v>
      </c>
    </row>
    <row r="41" spans="1:17" ht="20.149999999999999" customHeight="1" x14ac:dyDescent="0.45">
      <c r="A41" s="4" t="s">
        <v>25</v>
      </c>
      <c r="B41" s="12">
        <f>AVERAGE(E11:E40)</f>
        <v>24.26</v>
      </c>
      <c r="C41" s="4" t="s">
        <v>26</v>
      </c>
      <c r="D41" s="13">
        <v>26.2</v>
      </c>
      <c r="E41" s="6" t="s">
        <v>27</v>
      </c>
      <c r="F41" s="13">
        <v>22.6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7" ht="20" customHeight="1" x14ac:dyDescent="0.45">
      <c r="A42" s="40"/>
      <c r="B42" s="41"/>
      <c r="C42" s="41"/>
      <c r="D42" s="41"/>
      <c r="H42" s="41"/>
    </row>
    <row r="43" spans="1:17" ht="17" customHeight="1" x14ac:dyDescent="0.45"/>
    <row r="44" spans="1:17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7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7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29166666666666669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2026-06-18T07:33:28Z</cp:lastPrinted>
  <dcterms:created xsi:type="dcterms:W3CDTF">2019-12-19T05:48:48Z</dcterms:created>
  <dcterms:modified xsi:type="dcterms:W3CDTF">2026-06-18T07:33:35Z</dcterms:modified>
</cp:coreProperties>
</file>