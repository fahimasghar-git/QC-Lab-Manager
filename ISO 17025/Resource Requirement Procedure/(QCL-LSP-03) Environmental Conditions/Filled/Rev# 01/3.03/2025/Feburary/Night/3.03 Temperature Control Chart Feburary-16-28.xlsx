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Febur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<sst xmlns="http://schemas.openxmlformats.org/spreadsheetml/2006/main" count="125" uniqueCount="51">
  <si>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</si>
  <si>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</si>
  <si>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</si>
  <si>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</si>
  <si>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</si>
  <si>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</si>
  <si>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</si>
  <si>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</si>
  <si>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</si>
  <si>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</si>
  <si>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</si>
  <si>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</si>
  <si>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</si>
  <si>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</si>
  <si>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</si>
  <si>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</si>
  <si>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</si>
  <si>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</si>
  <si>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</si>
  <si>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</si>
  <si>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</si>
  <si>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</si>
  <si>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</si>
  <si>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</si>
  <si>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</si>
  <si>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</si>
  <si>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</si>
  <si>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</si>
  <si>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</si>
  <si>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</si>
  <si>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</si>
  <si>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</si>
  <si>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</si>
  <si>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</si>
  <si>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</si>
  <si>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</si>
  <si>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</si>
  <si>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</si>
  <si>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</si>
  <si>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</si>
  <si>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</si>
  <si>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</si>
  <si>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</si>
  <si>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</si>
  <si>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</si>
  <si>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</si>
  <si>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</si>
  <si>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</si>
  <si>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</si>
  <si>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</si>
  <si>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Feburary-2025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</si>
</sst>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23.3</c:v>
                </c:pt>
                <c:pt idx="1">
                  <c:v>24.3</c:v>
                </c:pt>
                <c:pt idx="2">
                  <c:v>23</c:v>
                </c:pt>
                <c:pt idx="3">
                  <c:v>24.1</c:v>
                </c:pt>
                <c:pt idx="4">
                  <c:v>22.7</c:v>
                </c:pt>
                <c:pt idx="5">
                  <c:v>23.7</c:v>
                </c:pt>
                <c:pt idx="6">
                  <c:v>22.9</c:v>
                </c:pt>
                <c:pt idx="7">
                  <c:v>23.8</c:v>
                </c:pt>
                <c:pt idx="8">
                  <c:v>22.1</c:v>
                </c:pt>
                <c:pt idx="9">
                  <c:v>23.5</c:v>
                </c:pt>
                <c:pt idx="10">
                  <c:v>23.4</c:v>
                </c:pt>
                <c:pt idx="11">
                  <c:v>24.6</c:v>
                </c:pt>
                <c:pt idx="12">
                  <c:v>22.8</c:v>
                </c:pt>
                <c:pt idx="13">
                  <c:v>22.9</c:v>
                </c:pt>
                <c:pt idx="14">
                  <c:v>23.2</c:v>
                </c:pt>
                <c:pt idx="15">
                  <c:v>24.5</c:v>
                </c:pt>
                <c:pt idx="16">
                  <c:v>22.9</c:v>
                </c:pt>
                <c:pt idx="17">
                  <c:v>24</c:v>
                </c:pt>
                <c:pt idx="18">
                  <c:v>23.6</c:v>
                </c:pt>
                <c:pt idx="19">
                  <c:v>24.7</c:v>
                </c:pt>
                <c:pt idx="20">
                  <c:v>23</c:v>
                </c:pt>
                <c:pt idx="21">
                  <c:v>24.1</c:v>
                </c:pt>
                <c:pt idx="22">
                  <c:v>23.3</c:v>
                </c:pt>
                <c:pt idx="23">
                  <c:v>24.1</c:v>
                </c:pt>
                <c:pt idx="24">
                  <c:v>23.6</c:v>
                </c:pt>
                <c:pt idx="25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22" zoomScale="80" zoomScaleNormal="100" zoomScaleSheetLayoutView="100" zoomScalePageLayoutView="80" workbookViewId="0">
      <selection activeCell="F37" sqref="F37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45704</v>
      </c>
      <c r="C11" s="4" t="s">
        <v>47</v>
      </c>
      <c r="D11" s="15">
        <v>0.95833333333333337</v>
      </c>
      <c r="E11" s="6">
        <v>23.3</v>
      </c>
      <c r="F11" s="6">
        <f>E11-D6</f>
        <v>-1.6999999999999993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45704</v>
      </c>
      <c r="C12" s="4" t="s">
        <v>47</v>
      </c>
      <c r="D12" s="15">
        <v>0.125</v>
      </c>
      <c r="E12" s="6">
        <v>24.3</v>
      </c>
      <c r="F12" s="6">
        <f t="shared" ref="F12:F33" si="1">E12-$D$6</f>
        <v>-0.69999999999999929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45705</v>
      </c>
      <c r="C13" s="4" t="s">
        <v>48</v>
      </c>
      <c r="D13" s="15">
        <v>0.95833333333333337</v>
      </c>
      <c r="E13" s="6">
        <v>23</v>
      </c>
      <c r="F13" s="6">
        <f t="shared" si="1"/>
        <v>-2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45705</v>
      </c>
      <c r="C14" s="4" t="s">
        <v>48</v>
      </c>
      <c r="D14" s="15">
        <v>0.125</v>
      </c>
      <c r="E14" s="6">
        <v>24.1</v>
      </c>
      <c r="F14" s="6">
        <f t="shared" si="1"/>
        <v>-0.89999999999999858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45706</v>
      </c>
      <c r="C15" s="4" t="s">
        <v>42</v>
      </c>
      <c r="D15" s="15">
        <v>0.95833333333333337</v>
      </c>
      <c r="E15" s="6">
        <v>22.7</v>
      </c>
      <c r="F15" s="6">
        <f t="shared" si="1"/>
        <v>-2.3000000000000007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45706</v>
      </c>
      <c r="C16" s="4" t="s">
        <v>42</v>
      </c>
      <c r="D16" s="15">
        <v>0.125</v>
      </c>
      <c r="E16" s="6">
        <v>23.7</v>
      </c>
      <c r="F16" s="6">
        <f t="shared" si="1"/>
        <v>-1.3000000000000007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45707</v>
      </c>
      <c r="C17" s="4" t="s">
        <v>43</v>
      </c>
      <c r="D17" s="15">
        <v>0.95833333333333337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45707</v>
      </c>
      <c r="C18" s="4" t="s">
        <v>43</v>
      </c>
      <c r="D18" s="15">
        <v>0.125</v>
      </c>
      <c r="E18" s="6">
        <v>23.8</v>
      </c>
      <c r="F18" s="6">
        <f t="shared" si="1"/>
        <v>-1.1999999999999993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45708</v>
      </c>
      <c r="C19" s="4" t="s">
        <v>44</v>
      </c>
      <c r="D19" s="15">
        <v>0.95833333333333337</v>
      </c>
      <c r="E19" s="6">
        <v>22.1</v>
      </c>
      <c r="F19" s="6">
        <f t="shared" si="1"/>
        <v>-2.8999999999999986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45708</v>
      </c>
      <c r="C20" s="4" t="s">
        <v>44</v>
      </c>
      <c r="D20" s="15">
        <v>0.125</v>
      </c>
      <c r="E20" s="6">
        <v>23.5</v>
      </c>
      <c r="F20" s="6">
        <f t="shared" si="1"/>
        <v>-1.5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45709</v>
      </c>
      <c r="C21" s="48" t="s">
        <v>45</v>
      </c>
      <c r="D21" s="15">
        <v>0.95833333333333337</v>
      </c>
      <c r="E21" s="6">
        <v>23.4</v>
      </c>
      <c r="F21" s="6">
        <f t="shared" si="1"/>
        <v>-1.6000000000000014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45709</v>
      </c>
      <c r="C22" s="48" t="s">
        <v>45</v>
      </c>
      <c r="D22" s="15">
        <v>0.125</v>
      </c>
      <c r="E22" s="6">
        <v>24.6</v>
      </c>
      <c r="F22" s="6">
        <f>E22-$D$6</f>
        <v>-0.39999999999999858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45710</v>
      </c>
      <c r="C23" s="4" t="s">
        <v>46</v>
      </c>
      <c r="D23" s="15">
        <v>0.95833333333333337</v>
      </c>
      <c r="E23" s="6">
        <v>22.8</v>
      </c>
      <c r="F23" s="6">
        <f>E23-$D$6</f>
        <v>-2.1999999999999993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45710</v>
      </c>
      <c r="C24" s="4" t="s">
        <v>46</v>
      </c>
      <c r="D24" s="15">
        <v>0.125</v>
      </c>
      <c r="E24" s="6">
        <v>22.9</v>
      </c>
      <c r="F24" s="6">
        <f>E24-$D$6</f>
        <v>-2.1000000000000014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45711</v>
      </c>
      <c r="C25" s="4" t="s">
        <v>47</v>
      </c>
      <c r="D25" s="15">
        <v>0.95833333333333337</v>
      </c>
      <c r="E25" s="6">
        <v>23.2</v>
      </c>
      <c r="F25" s="6">
        <f t="shared" si="1"/>
        <v>-1.8000000000000007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45711</v>
      </c>
      <c r="C26" s="4" t="s">
        <v>47</v>
      </c>
      <c r="D26" s="15">
        <v>0.125</v>
      </c>
      <c r="E26" s="6">
        <v>24.5</v>
      </c>
      <c r="F26" s="6">
        <f t="shared" si="1"/>
        <v>-0.5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45712</v>
      </c>
      <c r="C27" s="4" t="s">
        <v>48</v>
      </c>
      <c r="D27" s="15">
        <v>0.95833333333333337</v>
      </c>
      <c r="E27" s="6">
        <v>22.9</v>
      </c>
      <c r="F27" s="6">
        <f t="shared" si="1"/>
        <v>-2.1000000000000014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45712</v>
      </c>
      <c r="C28" s="4" t="s">
        <v>48</v>
      </c>
      <c r="D28" s="15">
        <v>0.125</v>
      </c>
      <c r="E28" s="6">
        <v>24</v>
      </c>
      <c r="F28" s="6">
        <f t="shared" si="1"/>
        <v>-1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45713</v>
      </c>
      <c r="C29" s="4" t="s">
        <v>42</v>
      </c>
      <c r="D29" s="15">
        <v>0.95833333333333337</v>
      </c>
      <c r="E29" s="6">
        <v>23.6</v>
      </c>
      <c r="F29" s="6">
        <f t="shared" si="1"/>
        <v>-1.3999999999999986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23.6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45713</v>
      </c>
      <c r="C30" s="4" t="s">
        <v>42</v>
      </c>
      <c r="D30" s="15">
        <v>0.125</v>
      </c>
      <c r="E30" s="6">
        <v>24.7</v>
      </c>
      <c r="F30" s="6">
        <f t="shared" si="1"/>
        <v>-0.30000000000000071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45714</v>
      </c>
      <c r="C31" s="4" t="s">
        <v>43</v>
      </c>
      <c r="D31" s="15">
        <v>0.95833333333333337</v>
      </c>
      <c r="E31" s="6">
        <v>23</v>
      </c>
      <c r="F31" s="6">
        <f t="shared" si="1"/>
        <v>-2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45714</v>
      </c>
      <c r="C32" s="4" t="s">
        <v>43</v>
      </c>
      <c r="D32" s="15">
        <v>0.125</v>
      </c>
      <c r="E32" s="6">
        <v>24.1</v>
      </c>
      <c r="F32" s="6">
        <f t="shared" si="1"/>
        <v>-0.89999999999999858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45715</v>
      </c>
      <c r="C33" s="4" t="s">
        <v>44</v>
      </c>
      <c r="D33" s="15">
        <v>0.95833333333333337</v>
      </c>
      <c r="E33" s="6">
        <v>23.3</v>
      </c>
      <c r="F33" s="6">
        <f t="shared" si="1"/>
        <v>-1.6999999999999993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45715</v>
      </c>
      <c r="C34" s="4" t="s">
        <v>44</v>
      </c>
      <c r="D34" s="15">
        <v>0.125</v>
      </c>
      <c r="E34" s="6">
        <v>24.1</v>
      </c>
      <c r="F34" s="6">
        <f t="shared" ref="F34:F36" si="3">E34-$D$6</f>
        <v>-0.89999999999999858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24.1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45716</v>
      </c>
      <c r="C35" s="42" t="s">
        <v>45</v>
      </c>
      <c r="D35" s="15">
        <v>0.95833333333333337</v>
      </c>
      <c r="E35" s="6">
        <v>23.6</v>
      </c>
      <c r="F35" s="6">
        <f t="shared" si="3"/>
        <v>-1.3999999999999986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45716</v>
      </c>
      <c r="C36" s="42" t="s">
        <v>45</v>
      </c>
      <c r="D36" s="15">
        <v>0.125</v>
      </c>
      <c r="E36" s="6">
        <v>24.2</v>
      </c>
      <c r="F36" s="6">
        <f t="shared" si="3"/>
        <v>-0.80000000000000071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4" t="s">
        <v>25</v>
      </c>
      <c r="B37" s="13">
        <f>AVERAGE(E11:E36)</f>
        <v>23.550000000000004</v>
      </c>
      <c r="C37" s="4" t="s">
        <v>26</v>
      </c>
      <c r="D37" s="14">
        <v>24.7</v>
      </c>
      <c r="E37" s="6" t="s">
        <v>27</v>
      </c>
      <c r="F37" s="14">
        <v>22.1</v>
      </c>
      <c r="G37" s="10" t="s">
        <v>4</v>
      </c>
      <c r="H37" s="7" t="s">
        <v>10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A38" s="41"/>
      <c r="B38" s="42"/>
      <c r="C38" s="42"/>
      <c r="D38" s="42"/>
      <c r="H38" s="42"/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/>
      <c r="M39" s="11"/>
      <c r="N39" s="11"/>
      <c r="O39" s="11"/>
      <c r="P39" s="11"/>
    </row>
    <row r="40" spans="1:16" s="12" customFormat="1" ht="20.149999999999999" customHeight="1" x14ac:dyDescent="0.45">
      <c r="A40" s="2" t="s">
        <v>38</v>
      </c>
      <c r="B40" s="43"/>
      <c r="C40" s="44"/>
      <c r="D40" s="44"/>
      <c r="E40" s="42"/>
      <c r="F40" s="45" t="s">
        <v>36</v>
      </c>
      <c r="G40" s="2"/>
      <c r="H40" s="46" t="s">
        <v>37</v>
      </c>
      <c r="J40" s="2"/>
      <c r="K40" s="11"/>
      <c r="L40" s="11"/>
      <c r="M40" s="11"/>
      <c r="N40" s="11"/>
      <c r="O40" s="11"/>
      <c r="P40" s="11"/>
    </row>
    <row r="41" spans="1:16" s="12" customFormat="1" ht="20.149999999999999" customHeight="1" x14ac:dyDescent="0.45">
      <c r="A41" s="2"/>
      <c r="B41" s="2"/>
      <c r="C41" s="2"/>
      <c r="D41" s="2"/>
      <c r="E41" s="2"/>
      <c r="F41" s="2"/>
      <c r="G41" s="2"/>
      <c r="H41" s="2"/>
      <c r="J41" s="2"/>
      <c r="K41" s="11"/>
      <c r="L41" s="11"/>
      <c r="M41" s="11"/>
      <c r="N41" s="11"/>
      <c r="O41" s="11"/>
      <c r="P41" s="11"/>
    </row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  <c r="J42" s="2"/>
      <c r="K42" s="11"/>
      <c r="L42" s="11"/>
      <c r="M42" s="11"/>
      <c r="N42" s="11"/>
      <c r="O42" s="11"/>
      <c r="P42" s="11"/>
    </row>
    <row r="43" spans="1:16" ht="20.149999999999999" customHeight="1" x14ac:dyDescent="0.45">
      <c r="A43" s="2" t="s">
        <v>39</v>
      </c>
      <c r="B43" s="47"/>
      <c r="C43" s="47"/>
      <c r="D43" s="47"/>
      <c r="F43" s="45" t="s">
        <v>36</v>
      </c>
      <c r="H43" s="46" t="s">
        <v>37</v>
      </c>
      <c r="K43" s="11"/>
      <c r="L43" s="11"/>
      <c r="M43" s="11"/>
      <c r="N43" s="11"/>
      <c r="O43" s="11"/>
      <c r="P43" s="11"/>
    </row>
    <row r="44" spans="1:16" ht="20" customHeight="1" x14ac:dyDescent="0.45">
      <c r="J44" s="2" t="s">
        <v>37</v>
      </c>
    </row>
    <row r="45" spans="1:16" ht="17" customHeight="1" x14ac:dyDescent="0.45"/>
    <row r="49" spans="1:8" x14ac:dyDescent="0.45">
      <c r="A49"/>
      <c r="B49"/>
      <c r="C49"/>
      <c r="D49"/>
      <c r="E49"/>
      <c r="F49"/>
      <c r="G49"/>
      <c r="H49"/>
    </row>
    <row r="50" spans="1:8" ht="26.5" customHeight="1" x14ac:dyDescent="0.45">
      <c r="A50" s="16"/>
      <c r="B50" s="17"/>
      <c r="C50" s="17"/>
      <c r="D50" s="18"/>
      <c r="E50" s="17"/>
      <c r="F50" s="18"/>
      <c r="G50" s="19"/>
      <c r="H50" s="20"/>
    </row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idden="1" x14ac:dyDescent="0.45">
      <c r="A55" s="2"/>
      <c r="B55" s="2"/>
      <c r="C55" s="2"/>
      <c r="D55" s="2"/>
      <c r="E55" s="2"/>
      <c r="F55" s="2"/>
      <c r="G55" s="2"/>
      <c r="H55" s="2"/>
    </row>
    <row r="56" spans="1:8" customFormat="1" x14ac:dyDescent="0.45">
      <c r="A56" s="2"/>
      <c r="B56" s="2"/>
      <c r="C56" s="2"/>
      <c r="D56" s="2"/>
      <c r="E56" s="2"/>
      <c r="F56" s="2"/>
      <c r="G56" s="2"/>
      <c r="H56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2026-06-18T07:40:44Z</cp:lastPrinted>
  <dcterms:created xsi:type="dcterms:W3CDTF">2019-12-19T05:48:48Z</dcterms:created>
  <dcterms:modified xsi:type="dcterms:W3CDTF">2026-06-18T07:40:47Z</dcterms:modified>
</cp:coreProperties>
</file>