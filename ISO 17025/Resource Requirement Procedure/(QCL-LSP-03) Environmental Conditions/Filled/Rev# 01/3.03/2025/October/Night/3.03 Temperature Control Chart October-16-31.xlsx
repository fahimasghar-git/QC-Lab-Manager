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Octo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42" i="6"/>
  <c r="F41" i="6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<sst xmlns="http://schemas.openxmlformats.org/spreadsheetml/2006/main" count="141" uniqueCount="51">
  <si>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</si>
  <si>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</si>
  <si>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</si>
  <si>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</si>
  <si>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</si>
  <si>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</si>
  <si>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</si>
  <si>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</si>
  <si>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</si>
  <si>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</si>
  <si>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</si>
  <si>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</si>
  <si>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</si>
  <si>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</si>
  <si>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</si>
  <si>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</si>
  <si>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</si>
  <si>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</si>
  <si>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</si>
  <si>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</si>
  <si>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</si>
  <si>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</si>
  <si>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</si>
  <si>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</si>
  <si>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</si>
  <si>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</si>
  <si>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</si>
  <si>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</si>
  <si>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</si>
  <si>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</si>
  <si>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</si>
  <si>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</si>
  <si>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</si>
  <si>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</si>
  <si>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</si>
  <si>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</si>
  <si>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</si>
  <si>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</si>
  <si>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</si>
  <si>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</si>
  <si>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</si>
  <si>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</si>
  <si>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</si>
  <si>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</si>
  <si>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</si>
  <si>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</si>
  <si>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</si>
  <si>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</si>
  <si>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>VAN/QC/EQP-001</t>
  </si>
  <si>
    <t>Thrusday</t>
  </si>
  <si>
    <t>October-2025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</si>
</sst>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23.5</c:v>
                </c:pt>
                <c:pt idx="1">
                  <c:v>24.9</c:v>
                </c:pt>
                <c:pt idx="2">
                  <c:v>23.7</c:v>
                </c:pt>
                <c:pt idx="3">
                  <c:v>24.9</c:v>
                </c:pt>
                <c:pt idx="4">
                  <c:v>24.4</c:v>
                </c:pt>
                <c:pt idx="5">
                  <c:v>25.7</c:v>
                </c:pt>
                <c:pt idx="6">
                  <c:v>24.3</c:v>
                </c:pt>
                <c:pt idx="7">
                  <c:v>25.3</c:v>
                </c:pt>
                <c:pt idx="8">
                  <c:v>24.8</c:v>
                </c:pt>
                <c:pt idx="9">
                  <c:v>26</c:v>
                </c:pt>
                <c:pt idx="10">
                  <c:v>23.9</c:v>
                </c:pt>
                <c:pt idx="11">
                  <c:v>25.1</c:v>
                </c:pt>
                <c:pt idx="12">
                  <c:v>24.8</c:v>
                </c:pt>
                <c:pt idx="13">
                  <c:v>26.1</c:v>
                </c:pt>
                <c:pt idx="14">
                  <c:v>24.1</c:v>
                </c:pt>
                <c:pt idx="15">
                  <c:v>25.1</c:v>
                </c:pt>
                <c:pt idx="16">
                  <c:v>24.7</c:v>
                </c:pt>
                <c:pt idx="17">
                  <c:v>25.9</c:v>
                </c:pt>
                <c:pt idx="18">
                  <c:v>24.3</c:v>
                </c:pt>
                <c:pt idx="19">
                  <c:v>25.2</c:v>
                </c:pt>
                <c:pt idx="20">
                  <c:v>23.6</c:v>
                </c:pt>
                <c:pt idx="21">
                  <c:v>24.4</c:v>
                </c:pt>
                <c:pt idx="22">
                  <c:v>23.9</c:v>
                </c:pt>
                <c:pt idx="23">
                  <c:v>25.2</c:v>
                </c:pt>
                <c:pt idx="24">
                  <c:v>23.7</c:v>
                </c:pt>
                <c:pt idx="25">
                  <c:v>24.4</c:v>
                </c:pt>
                <c:pt idx="26">
                  <c:v>24.3</c:v>
                </c:pt>
                <c:pt idx="27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0" zoomScale="80" zoomScaleNormal="100" zoomScaleSheetLayoutView="100" zoomScalePageLayoutView="80" workbookViewId="0">
      <selection activeCell="E40" sqref="E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48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45946</v>
      </c>
      <c r="C11" s="4" t="s">
        <v>49</v>
      </c>
      <c r="D11" s="15">
        <v>0.95833333333333337</v>
      </c>
      <c r="E11" s="6">
        <v>23.5</v>
      </c>
      <c r="F11" s="6">
        <f>E11-D6</f>
        <v>-1.5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45946</v>
      </c>
      <c r="C12" s="4" t="s">
        <v>49</v>
      </c>
      <c r="D12" s="15">
        <v>0.125</v>
      </c>
      <c r="E12" s="6">
        <v>24.9</v>
      </c>
      <c r="F12" s="6">
        <f t="shared" ref="F12:F28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45947</v>
      </c>
      <c r="C13" s="48" t="s">
        <v>44</v>
      </c>
      <c r="D13" s="15">
        <v>0.95833333333333337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45947</v>
      </c>
      <c r="C14" s="48" t="s">
        <v>44</v>
      </c>
      <c r="D14" s="15">
        <v>0.125</v>
      </c>
      <c r="E14" s="6">
        <v>24.9</v>
      </c>
      <c r="F14" s="6">
        <f t="shared" si="1"/>
        <v>-0.10000000000000142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24.9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45948</v>
      </c>
      <c r="C15" s="4" t="s">
        <v>45</v>
      </c>
      <c r="D15" s="15">
        <v>0.95833333333333337</v>
      </c>
      <c r="E15" s="6">
        <v>24.4</v>
      </c>
      <c r="F15" s="6">
        <f t="shared" si="1"/>
        <v>-0.60000000000000142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45948</v>
      </c>
      <c r="C16" s="4" t="s">
        <v>45</v>
      </c>
      <c r="D16" s="15">
        <v>0.125</v>
      </c>
      <c r="E16" s="6">
        <v>25.7</v>
      </c>
      <c r="F16" s="6">
        <f t="shared" si="1"/>
        <v>0.69999999999999929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45949</v>
      </c>
      <c r="C17" s="4" t="s">
        <v>47</v>
      </c>
      <c r="D17" s="15">
        <v>0.95833333333333337</v>
      </c>
      <c r="E17" s="6">
        <v>24.3</v>
      </c>
      <c r="F17" s="6">
        <f t="shared" si="1"/>
        <v>-0.69999999999999929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45949</v>
      </c>
      <c r="C18" s="4" t="s">
        <v>47</v>
      </c>
      <c r="D18" s="15">
        <v>0.125</v>
      </c>
      <c r="E18" s="6">
        <v>25.3</v>
      </c>
      <c r="F18" s="6">
        <f t="shared" si="1"/>
        <v>0.30000000000000071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45950</v>
      </c>
      <c r="C19" s="4" t="s">
        <v>42</v>
      </c>
      <c r="D19" s="15">
        <v>0.95833333333333337</v>
      </c>
      <c r="E19" s="6">
        <v>24.8</v>
      </c>
      <c r="F19" s="6">
        <f t="shared" si="1"/>
        <v>-0.19999999999999929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24.8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45950</v>
      </c>
      <c r="C20" s="4" t="s">
        <v>42</v>
      </c>
      <c r="D20" s="15">
        <v>0.125</v>
      </c>
      <c r="E20" s="6">
        <v>26</v>
      </c>
      <c r="F20" s="6">
        <f t="shared" si="1"/>
        <v>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45951</v>
      </c>
      <c r="C21" s="4" t="s">
        <v>43</v>
      </c>
      <c r="D21" s="15">
        <v>0.95833333333333337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45951</v>
      </c>
      <c r="C22" s="4" t="s">
        <v>43</v>
      </c>
      <c r="D22" s="15">
        <v>0.125</v>
      </c>
      <c r="E22" s="6">
        <v>25.1</v>
      </c>
      <c r="F22" s="6">
        <f>E22-$D$6</f>
        <v>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45952</v>
      </c>
      <c r="C23" s="4" t="s">
        <v>49</v>
      </c>
      <c r="D23" s="15">
        <v>0.95833333333333337</v>
      </c>
      <c r="E23" s="6">
        <v>24.8</v>
      </c>
      <c r="F23" s="6">
        <f>E23-$D$6</f>
        <v>-0.19999999999999929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45952</v>
      </c>
      <c r="C24" s="4" t="s">
        <v>49</v>
      </c>
      <c r="D24" s="15">
        <v>0.125</v>
      </c>
      <c r="E24" s="6">
        <v>26.1</v>
      </c>
      <c r="F24" s="6">
        <f>E24-$D$6</f>
        <v>1.1000000000000014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45953</v>
      </c>
      <c r="C25" s="42" t="s">
        <v>44</v>
      </c>
      <c r="D25" s="15">
        <v>0.95833333333333337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45953</v>
      </c>
      <c r="C26" s="42" t="s">
        <v>44</v>
      </c>
      <c r="D26" s="15">
        <v>0.125</v>
      </c>
      <c r="E26" s="6">
        <v>25.1</v>
      </c>
      <c r="F26" s="6">
        <f t="shared" si="1"/>
        <v>0.10000000000000142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45954</v>
      </c>
      <c r="C27" s="42" t="s">
        <v>45</v>
      </c>
      <c r="D27" s="15">
        <v>0.95833333333333337</v>
      </c>
      <c r="E27" s="6">
        <v>24.7</v>
      </c>
      <c r="F27" s="6">
        <f t="shared" si="1"/>
        <v>-0.30000000000000071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45954</v>
      </c>
      <c r="C28" s="42" t="s">
        <v>45</v>
      </c>
      <c r="D28" s="15">
        <v>0.125</v>
      </c>
      <c r="E28" s="6">
        <v>25.9</v>
      </c>
      <c r="F28" s="6">
        <f t="shared" si="1"/>
        <v>0.89999999999999858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45955</v>
      </c>
      <c r="C29" s="42" t="s">
        <v>46</v>
      </c>
      <c r="D29" s="15">
        <v>0.95833333333333337</v>
      </c>
      <c r="E29" s="6">
        <v>24.3</v>
      </c>
      <c r="F29" s="6">
        <f>E29-$D$6</f>
        <v>-0.69999999999999929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45955</v>
      </c>
      <c r="C30" s="42" t="s">
        <v>46</v>
      </c>
      <c r="D30" s="15">
        <v>0.125</v>
      </c>
      <c r="E30" s="6">
        <v>25.2</v>
      </c>
      <c r="F30" s="6">
        <f>E30-$D$6</f>
        <v>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45956</v>
      </c>
      <c r="C31" s="42" t="s">
        <v>47</v>
      </c>
      <c r="D31" s="15">
        <v>0.95833333333333337</v>
      </c>
      <c r="E31" s="6">
        <v>23.6</v>
      </c>
      <c r="F31" s="6">
        <f>E31-$D$6</f>
        <v>-1.3999999999999986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23.6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45956</v>
      </c>
      <c r="C32" s="42" t="s">
        <v>47</v>
      </c>
      <c r="D32" s="15">
        <v>0.125</v>
      </c>
      <c r="E32" s="6">
        <v>24.4</v>
      </c>
      <c r="F32" s="6">
        <f t="shared" ref="F32:F38" si="4">E32-$D$6</f>
        <v>-0.60000000000000142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24.4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45957</v>
      </c>
      <c r="C33" s="42" t="s">
        <v>42</v>
      </c>
      <c r="D33" s="15">
        <v>0.95833333333333337</v>
      </c>
      <c r="E33" s="6">
        <v>23.9</v>
      </c>
      <c r="F33" s="6">
        <f t="shared" si="4"/>
        <v>-1.1000000000000014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45957</v>
      </c>
      <c r="C34" s="42" t="s">
        <v>42</v>
      </c>
      <c r="D34" s="15">
        <v>0.125</v>
      </c>
      <c r="E34" s="6">
        <v>25.2</v>
      </c>
      <c r="F34" s="6">
        <f t="shared" si="4"/>
        <v>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45958</v>
      </c>
      <c r="C35" s="49" t="s">
        <v>43</v>
      </c>
      <c r="D35" s="15">
        <v>0.95833333333333337</v>
      </c>
      <c r="E35" s="6">
        <v>23.7</v>
      </c>
      <c r="F35" s="6">
        <f t="shared" si="4"/>
        <v>-1.3000000000000007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23.7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45958</v>
      </c>
      <c r="C36" s="49" t="s">
        <v>43</v>
      </c>
      <c r="D36" s="15">
        <v>0.125</v>
      </c>
      <c r="E36" s="6">
        <v>24.4</v>
      </c>
      <c r="F36" s="6">
        <f t="shared" si="4"/>
        <v>-0.60000000000000142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24.4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45959</v>
      </c>
      <c r="C37" s="49" t="s">
        <v>49</v>
      </c>
      <c r="D37" s="15">
        <v>0.95833333333333337</v>
      </c>
      <c r="E37" s="6">
        <v>24.3</v>
      </c>
      <c r="F37" s="6">
        <f t="shared" si="4"/>
        <v>-0.69999999999999929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45959</v>
      </c>
      <c r="C38" s="49" t="s">
        <v>49</v>
      </c>
      <c r="D38" s="15">
        <v>0.125</v>
      </c>
      <c r="E38" s="6">
        <v>25.9</v>
      </c>
      <c r="F38" s="6">
        <f t="shared" si="4"/>
        <v>0.89999999999999858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45960</v>
      </c>
      <c r="C39" s="49" t="s">
        <v>44</v>
      </c>
      <c r="D39" s="15">
        <v>0.95833333333333337</v>
      </c>
      <c r="E39" s="6">
        <v>23.6</v>
      </c>
      <c r="F39" s="6">
        <f t="shared" ref="F39:F42" si="5">E39-$D$6</f>
        <v>-1.3999999999999986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23.3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45960</v>
      </c>
      <c r="C40" s="49" t="s">
        <v>44</v>
      </c>
      <c r="D40" s="15">
        <v>0.125</v>
      </c>
      <c r="E40" s="6">
        <v>25.1</v>
      </c>
      <c r="F40" s="6">
        <f t="shared" si="5"/>
        <v>0.10000000000000142</v>
      </c>
      <c r="G40" s="10" t="s">
        <v>4</v>
      </c>
      <c r="J40" s="2">
        <f t="shared" si="0"/>
        <v>30</v>
      </c>
      <c r="K40" s="11">
        <v>25</v>
      </c>
      <c r="L40" s="11">
        <f>E42</f>
        <v>25.6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45961</v>
      </c>
      <c r="C41" s="49" t="s">
        <v>45</v>
      </c>
      <c r="D41" s="15">
        <v>0.95833333333333337</v>
      </c>
      <c r="E41" s="6">
        <v>23.3</v>
      </c>
      <c r="F41" s="14">
        <f t="shared" si="5"/>
        <v>-1.6999999999999993</v>
      </c>
      <c r="G41" s="10" t="s">
        <v>4</v>
      </c>
      <c r="H41" s="7" t="s">
        <v>10</v>
      </c>
      <c r="J41" s="2">
        <f t="shared" si="0"/>
        <v>31</v>
      </c>
    </row>
    <row r="42" spans="1:16" s="12" customFormat="1" ht="20.149999999999999" customHeight="1" x14ac:dyDescent="0.45">
      <c r="A42" s="5">
        <v>32</v>
      </c>
      <c r="B42" s="4">
        <v>45961</v>
      </c>
      <c r="C42" s="49" t="s">
        <v>45</v>
      </c>
      <c r="D42" s="15">
        <v>0.125</v>
      </c>
      <c r="E42" s="6">
        <v>25.6</v>
      </c>
      <c r="F42" s="14">
        <f t="shared" si="5"/>
        <v>0.60000000000000142</v>
      </c>
      <c r="G42" s="10" t="s">
        <v>4</v>
      </c>
      <c r="H42" s="7"/>
      <c r="J42" s="2">
        <f t="shared" si="0"/>
        <v>32</v>
      </c>
    </row>
    <row r="43" spans="1:16" ht="20.149999999999999" customHeight="1" x14ac:dyDescent="0.45">
      <c r="A43" s="4" t="s">
        <v>25</v>
      </c>
      <c r="B43" s="13">
        <f>AVERAGE(E11:E43)</f>
        <v>24.678125000000001</v>
      </c>
      <c r="C43" s="4" t="s">
        <v>26</v>
      </c>
      <c r="D43" s="14">
        <v>26.1</v>
      </c>
      <c r="E43" s="6" t="s">
        <v>27</v>
      </c>
      <c r="F43" s="14">
        <v>23.3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2026-06-19T06:38:55Z</cp:lastPrinted>
  <dcterms:created xsi:type="dcterms:W3CDTF">2019-12-19T05:48:48Z</dcterms:created>
  <dcterms:modified xsi:type="dcterms:W3CDTF">2026-06-19T06:39:00Z</dcterms:modified>
</cp:coreProperties>
</file>