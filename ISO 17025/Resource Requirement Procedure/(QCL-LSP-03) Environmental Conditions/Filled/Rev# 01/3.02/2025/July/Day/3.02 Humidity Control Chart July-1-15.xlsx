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l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4" l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B38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L24" i="4"/>
  <c r="L23" i="4"/>
  <c r="F11" i="4" l="1"/>
  <c r="F12" i="4" l="1"/>
  <c r="F13" i="4"/>
  <c r="F14" i="4"/>
  <c r="F15" i="4"/>
  <c r="F16" i="4"/>
  <c r="F17" i="4"/>
  <c r="F18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<sst xmlns="http://schemas.openxmlformats.org/spreadsheetml/2006/main" count="127" uniqueCount="52">
  <si>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</si>
  <si>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</si>
  <si>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</si>
  <si>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</si>
  <si>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</si>
  <si>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</si>
  <si>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</si>
  <si>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</si>
  <si>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</si>
  <si>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</si>
  <si>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</si>
  <si>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</si>
  <si>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</si>
  <si>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</si>
  <si>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</si>
  <si>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</si>
  <si>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</si>
  <si>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</si>
  <si>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</si>
  <si>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</si>
  <si>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</si>
  <si>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</si>
  <si>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</si>
  <si>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</si>
  <si>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</si>
  <si>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</si>
  <si>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</si>
  <si>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</si>
  <si>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</si>
  <si>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</si>
  <si>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</si>
  <si>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</si>
  <si>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</si>
  <si>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</si>
  <si>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</si>
  <si>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</si>
  <si>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</si>
  <si>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</si>
  <si>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</si>
  <si>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</si>
  <si>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</si>
  <si>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</si>
  <si>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</si>
  <si>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</si>
  <si>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</si>
  <si>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</si>
  <si>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</si>
  <si>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</si>
  <si>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</si>
  <si>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</si>
  <si>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</si>
  <si>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July-2025 (First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</si>
</sst>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45</c:v>
                </c:pt>
                <c:pt idx="2">
                  <c:v>54</c:v>
                </c:pt>
                <c:pt idx="3">
                  <c:v>49</c:v>
                </c:pt>
                <c:pt idx="4">
                  <c:v>53</c:v>
                </c:pt>
                <c:pt idx="5">
                  <c:v>45</c:v>
                </c:pt>
                <c:pt idx="6">
                  <c:v>52</c:v>
                </c:pt>
                <c:pt idx="7">
                  <c:v>46</c:v>
                </c:pt>
                <c:pt idx="8">
                  <c:v>54</c:v>
                </c:pt>
                <c:pt idx="9">
                  <c:v>51</c:v>
                </c:pt>
                <c:pt idx="10">
                  <c:v>55</c:v>
                </c:pt>
                <c:pt idx="11">
                  <c:v>48</c:v>
                </c:pt>
                <c:pt idx="12">
                  <c:v>49</c:v>
                </c:pt>
                <c:pt idx="13">
                  <c:v>46</c:v>
                </c:pt>
                <c:pt idx="14">
                  <c:v>55</c:v>
                </c:pt>
                <c:pt idx="15">
                  <c:v>47</c:v>
                </c:pt>
                <c:pt idx="16">
                  <c:v>48</c:v>
                </c:pt>
                <c:pt idx="17">
                  <c:v>45</c:v>
                </c:pt>
                <c:pt idx="18">
                  <c:v>54</c:v>
                </c:pt>
                <c:pt idx="19">
                  <c:v>48</c:v>
                </c:pt>
                <c:pt idx="20">
                  <c:v>49</c:v>
                </c:pt>
                <c:pt idx="21">
                  <c:v>45</c:v>
                </c:pt>
                <c:pt idx="22">
                  <c:v>51</c:v>
                </c:pt>
                <c:pt idx="23">
                  <c:v>49</c:v>
                </c:pt>
                <c:pt idx="24">
                  <c:v>50</c:v>
                </c:pt>
                <c:pt idx="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" zoomScaleNormal="100" zoomScaleSheetLayoutView="100" workbookViewId="0">
      <selection activeCell="E40" sqref="E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51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49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45839</v>
      </c>
      <c r="C11" s="10" t="s">
        <v>44</v>
      </c>
      <c r="D11" s="18">
        <v>0.45833333333333331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36" si="0">A11</f>
        <v>1</v>
      </c>
      <c r="K11" s="7">
        <v>50</v>
      </c>
      <c r="L11" s="7">
        <f t="shared" ref="L11:L36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45839</v>
      </c>
      <c r="C12" s="10" t="s">
        <v>44</v>
      </c>
      <c r="D12" s="18">
        <v>0.625</v>
      </c>
      <c r="E12" s="12">
        <v>45</v>
      </c>
      <c r="F12" s="12">
        <f t="shared" ref="F12:F18" si="2">E12-$B$6</f>
        <v>-5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45840</v>
      </c>
      <c r="C13" s="10" t="s">
        <v>45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45840</v>
      </c>
      <c r="C14" s="10" t="s">
        <v>45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45841</v>
      </c>
      <c r="C15" s="10" t="s">
        <v>46</v>
      </c>
      <c r="D15" s="18">
        <v>0.45833333333333331</v>
      </c>
      <c r="E15" s="12">
        <v>53</v>
      </c>
      <c r="F15" s="12">
        <f t="shared" si="2"/>
        <v>3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45841</v>
      </c>
      <c r="C16" s="10" t="s">
        <v>46</v>
      </c>
      <c r="D16" s="18">
        <v>0.625</v>
      </c>
      <c r="E16" s="12">
        <v>45</v>
      </c>
      <c r="F16" s="12">
        <f t="shared" si="2"/>
        <v>-5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45842</v>
      </c>
      <c r="C17" s="10" t="s">
        <v>47</v>
      </c>
      <c r="D17" s="18">
        <v>0.45833333333333331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45842</v>
      </c>
      <c r="C18" s="10" t="s">
        <v>47</v>
      </c>
      <c r="D18" s="18">
        <v>0.625</v>
      </c>
      <c r="E18" s="12">
        <v>46</v>
      </c>
      <c r="F18" s="12">
        <f t="shared" si="2"/>
        <v>-4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13</v>
      </c>
      <c r="B19" s="10">
        <v>45845</v>
      </c>
      <c r="C19" s="10" t="s">
        <v>43</v>
      </c>
      <c r="D19" s="18">
        <v>0.45833333333333331</v>
      </c>
      <c r="E19" s="12">
        <v>54</v>
      </c>
      <c r="F19" s="12">
        <f t="shared" ref="F19:F36" si="3">E19-$B$6</f>
        <v>4</v>
      </c>
      <c r="G19" s="17" t="s">
        <v>6</v>
      </c>
      <c r="H19" s="13" t="s">
        <v>14</v>
      </c>
      <c r="J19" s="5">
        <f t="shared" si="0"/>
        <v>13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14</v>
      </c>
      <c r="B20" s="10">
        <v>45845</v>
      </c>
      <c r="C20" s="10" t="s">
        <v>43</v>
      </c>
      <c r="D20" s="18">
        <v>0.625</v>
      </c>
      <c r="E20" s="12">
        <v>51</v>
      </c>
      <c r="F20" s="12">
        <f t="shared" si="3"/>
        <v>1</v>
      </c>
      <c r="G20" s="17" t="s">
        <v>6</v>
      </c>
      <c r="H20" s="13" t="s">
        <v>14</v>
      </c>
      <c r="J20" s="5">
        <f t="shared" si="0"/>
        <v>14</v>
      </c>
      <c r="K20" s="7">
        <v>50</v>
      </c>
      <c r="L20" s="7">
        <f t="shared" si="1"/>
        <v>51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15</v>
      </c>
      <c r="B21" s="10">
        <v>45846</v>
      </c>
      <c r="C21" s="10" t="s">
        <v>44</v>
      </c>
      <c r="D21" s="18">
        <v>0.45833333333333331</v>
      </c>
      <c r="E21" s="12">
        <v>55</v>
      </c>
      <c r="F21" s="12">
        <f t="shared" si="3"/>
        <v>5</v>
      </c>
      <c r="G21" s="17" t="s">
        <v>6</v>
      </c>
      <c r="H21" s="13" t="s">
        <v>14</v>
      </c>
      <c r="J21" s="5">
        <f t="shared" si="0"/>
        <v>15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16</v>
      </c>
      <c r="B22" s="10">
        <v>45846</v>
      </c>
      <c r="C22" s="10" t="s">
        <v>44</v>
      </c>
      <c r="D22" s="18">
        <v>0.625</v>
      </c>
      <c r="E22" s="12">
        <v>48</v>
      </c>
      <c r="F22" s="12">
        <f t="shared" si="3"/>
        <v>-2</v>
      </c>
      <c r="G22" s="17" t="s">
        <v>6</v>
      </c>
      <c r="H22" s="13" t="s">
        <v>14</v>
      </c>
      <c r="J22" s="5">
        <f t="shared" si="0"/>
        <v>16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17</v>
      </c>
      <c r="B23" s="10">
        <v>45847</v>
      </c>
      <c r="C23" s="10" t="s">
        <v>45</v>
      </c>
      <c r="D23" s="18">
        <v>0.45833333333333331</v>
      </c>
      <c r="E23" s="12">
        <v>49</v>
      </c>
      <c r="F23" s="12">
        <f t="shared" si="3"/>
        <v>-1</v>
      </c>
      <c r="G23" s="17" t="s">
        <v>6</v>
      </c>
      <c r="H23" s="13" t="s">
        <v>14</v>
      </c>
      <c r="J23" s="5">
        <f t="shared" si="0"/>
        <v>17</v>
      </c>
      <c r="K23" s="7">
        <v>50</v>
      </c>
      <c r="L23" s="7">
        <f t="shared" si="1"/>
        <v>49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18</v>
      </c>
      <c r="B24" s="10">
        <v>45847</v>
      </c>
      <c r="C24" s="10" t="s">
        <v>45</v>
      </c>
      <c r="D24" s="18">
        <v>0.625</v>
      </c>
      <c r="E24" s="12">
        <v>46</v>
      </c>
      <c r="F24" s="12">
        <f t="shared" si="3"/>
        <v>-4</v>
      </c>
      <c r="G24" s="17" t="s">
        <v>6</v>
      </c>
      <c r="H24" s="13" t="s">
        <v>14</v>
      </c>
      <c r="J24" s="5">
        <f t="shared" si="0"/>
        <v>18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19</v>
      </c>
      <c r="B25" s="10">
        <v>45848</v>
      </c>
      <c r="C25" s="10" t="s">
        <v>46</v>
      </c>
      <c r="D25" s="18">
        <v>0.45833333333333331</v>
      </c>
      <c r="E25" s="12">
        <v>55</v>
      </c>
      <c r="F25" s="12">
        <f t="shared" si="3"/>
        <v>5</v>
      </c>
      <c r="G25" s="17" t="s">
        <v>6</v>
      </c>
      <c r="H25" s="13" t="s">
        <v>14</v>
      </c>
      <c r="J25" s="5">
        <f t="shared" si="0"/>
        <v>19</v>
      </c>
      <c r="K25" s="7">
        <v>50</v>
      </c>
      <c r="L25" s="7">
        <f t="shared" si="1"/>
        <v>55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20</v>
      </c>
      <c r="B26" s="10">
        <v>45848</v>
      </c>
      <c r="C26" s="10" t="s">
        <v>46</v>
      </c>
      <c r="D26" s="18">
        <v>0.625</v>
      </c>
      <c r="E26" s="12">
        <v>47</v>
      </c>
      <c r="F26" s="12">
        <f t="shared" si="3"/>
        <v>-3</v>
      </c>
      <c r="G26" s="17" t="s">
        <v>6</v>
      </c>
      <c r="H26" s="13" t="s">
        <v>14</v>
      </c>
      <c r="J26" s="5">
        <f t="shared" si="0"/>
        <v>20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21</v>
      </c>
      <c r="B27" s="10">
        <v>45849</v>
      </c>
      <c r="C27" s="10" t="s">
        <v>47</v>
      </c>
      <c r="D27" s="18">
        <v>0.45833333333333331</v>
      </c>
      <c r="E27" s="12">
        <v>48</v>
      </c>
      <c r="F27" s="12">
        <f t="shared" si="3"/>
        <v>-2</v>
      </c>
      <c r="G27" s="17" t="s">
        <v>6</v>
      </c>
      <c r="H27" s="13" t="s">
        <v>14</v>
      </c>
      <c r="J27" s="5">
        <f t="shared" si="0"/>
        <v>21</v>
      </c>
      <c r="K27" s="7">
        <v>50</v>
      </c>
      <c r="L27" s="7">
        <f t="shared" si="1"/>
        <v>48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22</v>
      </c>
      <c r="B28" s="10">
        <v>45849</v>
      </c>
      <c r="C28" s="10" t="s">
        <v>47</v>
      </c>
      <c r="D28" s="18">
        <v>0.625</v>
      </c>
      <c r="E28" s="12">
        <v>45</v>
      </c>
      <c r="F28" s="12">
        <f t="shared" si="3"/>
        <v>-5</v>
      </c>
      <c r="G28" s="17" t="s">
        <v>6</v>
      </c>
      <c r="H28" s="13" t="s">
        <v>14</v>
      </c>
      <c r="J28" s="5">
        <f t="shared" si="0"/>
        <v>22</v>
      </c>
      <c r="K28" s="7">
        <v>50</v>
      </c>
      <c r="L28" s="7">
        <f t="shared" si="1"/>
        <v>45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23</v>
      </c>
      <c r="B29" s="10">
        <v>45850</v>
      </c>
      <c r="C29" s="39" t="s">
        <v>48</v>
      </c>
      <c r="D29" s="18">
        <v>0.45833333333333331</v>
      </c>
      <c r="E29" s="12">
        <v>54</v>
      </c>
      <c r="F29" s="12">
        <f t="shared" si="3"/>
        <v>4</v>
      </c>
      <c r="G29" s="17" t="s">
        <v>6</v>
      </c>
      <c r="H29" s="13" t="s">
        <v>14</v>
      </c>
      <c r="J29" s="5">
        <f t="shared" si="0"/>
        <v>23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24</v>
      </c>
      <c r="B30" s="10">
        <v>45850</v>
      </c>
      <c r="C30" s="39" t="s">
        <v>48</v>
      </c>
      <c r="D30" s="18">
        <v>0.625</v>
      </c>
      <c r="E30" s="12">
        <v>48</v>
      </c>
      <c r="F30" s="12">
        <f t="shared" si="3"/>
        <v>-2</v>
      </c>
      <c r="G30" s="17" t="s">
        <v>6</v>
      </c>
      <c r="H30" s="13" t="s">
        <v>14</v>
      </c>
      <c r="J30" s="5">
        <f t="shared" si="0"/>
        <v>24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25</v>
      </c>
      <c r="B31" s="10">
        <v>45851</v>
      </c>
      <c r="C31" s="39" t="s">
        <v>42</v>
      </c>
      <c r="D31" s="38" t="s">
        <v>41</v>
      </c>
      <c r="E31" s="12">
        <v>49</v>
      </c>
      <c r="F31" s="12">
        <f t="shared" si="3"/>
        <v>-1</v>
      </c>
      <c r="G31" s="17" t="s">
        <v>6</v>
      </c>
      <c r="H31" s="13" t="s">
        <v>14</v>
      </c>
      <c r="J31" s="5">
        <f t="shared" si="0"/>
        <v>25</v>
      </c>
      <c r="K31" s="7">
        <v>50</v>
      </c>
      <c r="L31" s="7">
        <f t="shared" si="1"/>
        <v>49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26</v>
      </c>
      <c r="B32" s="10">
        <v>45851</v>
      </c>
      <c r="C32" s="39" t="s">
        <v>42</v>
      </c>
      <c r="D32" s="18">
        <v>0.625</v>
      </c>
      <c r="E32" s="12">
        <v>45</v>
      </c>
      <c r="F32" s="12">
        <f t="shared" si="3"/>
        <v>-5</v>
      </c>
      <c r="G32" s="17" t="s">
        <v>6</v>
      </c>
      <c r="H32" s="13" t="s">
        <v>14</v>
      </c>
      <c r="J32" s="5">
        <f t="shared" si="0"/>
        <v>26</v>
      </c>
      <c r="K32" s="7">
        <v>50</v>
      </c>
      <c r="L32" s="7">
        <f t="shared" si="1"/>
        <v>45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27</v>
      </c>
      <c r="B33" s="10">
        <v>45852</v>
      </c>
      <c r="C33" s="39" t="s">
        <v>43</v>
      </c>
      <c r="D33" s="18">
        <v>0.45833333333333331</v>
      </c>
      <c r="E33" s="12">
        <v>51</v>
      </c>
      <c r="F33" s="12">
        <f t="shared" si="3"/>
        <v>1</v>
      </c>
      <c r="G33" s="17" t="s">
        <v>6</v>
      </c>
      <c r="H33" s="13" t="s">
        <v>14</v>
      </c>
      <c r="J33" s="5">
        <f t="shared" si="0"/>
        <v>27</v>
      </c>
      <c r="K33" s="7">
        <v>50</v>
      </c>
      <c r="L33" s="7">
        <f t="shared" si="1"/>
        <v>51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28</v>
      </c>
      <c r="B34" s="10">
        <v>45852</v>
      </c>
      <c r="C34" s="39" t="s">
        <v>43</v>
      </c>
      <c r="D34" s="18">
        <v>0.625</v>
      </c>
      <c r="E34" s="12">
        <v>49</v>
      </c>
      <c r="F34" s="12">
        <f t="shared" si="3"/>
        <v>-1</v>
      </c>
      <c r="G34" s="17" t="s">
        <v>6</v>
      </c>
      <c r="H34" s="13" t="s">
        <v>14</v>
      </c>
      <c r="J34" s="5">
        <f t="shared" si="0"/>
        <v>28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29</v>
      </c>
      <c r="B35" s="10">
        <v>45853</v>
      </c>
      <c r="C35" s="39" t="s">
        <v>44</v>
      </c>
      <c r="D35" s="18">
        <v>0.45833333333333331</v>
      </c>
      <c r="E35" s="12">
        <v>50</v>
      </c>
      <c r="F35" s="12">
        <f t="shared" si="3"/>
        <v>0</v>
      </c>
      <c r="G35" s="17" t="s">
        <v>6</v>
      </c>
      <c r="H35" s="13" t="s">
        <v>14</v>
      </c>
      <c r="J35" s="5">
        <f t="shared" si="0"/>
        <v>29</v>
      </c>
      <c r="K35" s="7">
        <v>50</v>
      </c>
      <c r="L35" s="7">
        <f t="shared" si="1"/>
        <v>50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30</v>
      </c>
      <c r="B36" s="10">
        <v>45853</v>
      </c>
      <c r="C36" s="39" t="s">
        <v>44</v>
      </c>
      <c r="D36" s="18">
        <v>0.625</v>
      </c>
      <c r="E36" s="12">
        <v>49</v>
      </c>
      <c r="F36" s="12">
        <f t="shared" si="3"/>
        <v>-1</v>
      </c>
      <c r="G36" s="17" t="s">
        <v>6</v>
      </c>
      <c r="H36" s="13" t="s">
        <v>14</v>
      </c>
      <c r="J36" s="5">
        <f t="shared" si="0"/>
        <v>30</v>
      </c>
      <c r="K36" s="7">
        <v>50</v>
      </c>
      <c r="L36" s="7">
        <f t="shared" si="1"/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/>
      <c r="B37" s="10"/>
      <c r="C37" s="10"/>
      <c r="D37" s="18"/>
      <c r="E37" s="12"/>
      <c r="F37" s="12"/>
      <c r="G37" s="17"/>
      <c r="H37" s="13"/>
      <c r="K37" s="7"/>
      <c r="L37" s="7"/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0" t="s">
        <v>32</v>
      </c>
      <c r="B38" s="16">
        <f>AVERAGE(E11:E36)</f>
        <v>49.57692307692308</v>
      </c>
      <c r="C38" s="10" t="s">
        <v>50</v>
      </c>
      <c r="D38" s="12">
        <v>55</v>
      </c>
      <c r="E38" s="12" t="s">
        <v>33</v>
      </c>
      <c r="F38" s="12">
        <v>45</v>
      </c>
      <c r="G38" s="17" t="s">
        <v>6</v>
      </c>
      <c r="H38" s="13" t="s">
        <v>14</v>
      </c>
      <c r="K38" s="7"/>
      <c r="L38" s="7"/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24" t="s">
        <v>7</v>
      </c>
      <c r="B40" s="14"/>
      <c r="C40" s="14"/>
      <c r="D40" s="15"/>
      <c r="E40" s="15"/>
      <c r="F40" s="15"/>
      <c r="G40" s="15"/>
      <c r="H40" s="15"/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4"/>
      <c r="B41" s="14"/>
      <c r="C41" s="14"/>
      <c r="D41" s="14" t="s">
        <v>0</v>
      </c>
      <c r="E41" s="14"/>
      <c r="F41" s="14"/>
      <c r="G41" s="14" t="s">
        <v>1</v>
      </c>
      <c r="H41" s="14" t="s">
        <v>2</v>
      </c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4"/>
      <c r="C42" s="14"/>
      <c r="D42" s="14"/>
      <c r="E42" s="14"/>
      <c r="F42" s="14"/>
      <c r="G42" s="14"/>
      <c r="H42" s="14"/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8" t="s">
        <v>13</v>
      </c>
      <c r="F43" s="9"/>
      <c r="K43" s="7"/>
      <c r="L43" s="7"/>
      <c r="M43" s="7"/>
      <c r="N43" s="7"/>
      <c r="O43" s="7"/>
      <c r="P43" s="7"/>
    </row>
    <row r="44" spans="1:16" ht="51" customHeight="1" x14ac:dyDescent="0.45">
      <c r="D44" s="25" t="s">
        <v>0</v>
      </c>
      <c r="E44" s="25"/>
      <c r="F44" s="14"/>
      <c r="G44" s="25" t="s">
        <v>1</v>
      </c>
      <c r="H44" s="25" t="s">
        <v>2</v>
      </c>
    </row>
    <row r="45" spans="1:16" ht="20.149999999999999" customHeight="1" x14ac:dyDescent="0.45"/>
    <row r="46" spans="1:16" ht="13" customHeight="1" x14ac:dyDescent="0.45">
      <c r="B46" s="19"/>
    </row>
    <row r="47" spans="1:16" ht="45.5" customHeight="1" x14ac:dyDescent="0.45">
      <c r="A47"/>
      <c r="C47"/>
      <c r="D47"/>
      <c r="E47"/>
      <c r="F47"/>
      <c r="G47"/>
      <c r="H47"/>
    </row>
    <row r="48" spans="1:16" x14ac:dyDescent="0.45">
      <c r="A48" s="20"/>
      <c r="C48" s="19"/>
      <c r="D48" s="21"/>
      <c r="E48" s="19"/>
      <c r="F48" s="21"/>
      <c r="G48" s="22"/>
      <c r="H48" s="23"/>
    </row>
    <row r="49" spans="1:8" ht="15" customHeight="1" x14ac:dyDescent="0.45"/>
    <row r="50" spans="1:8" ht="31.5" customHeight="1" x14ac:dyDescent="0.45"/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29749999999999999" bottom="0.25" header="0.3" footer="0.3"/>
  <pageSetup paperSize="9" scale="65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2026-06-18T05:53:46Z</cp:lastPrinted>
  <dcterms:created xsi:type="dcterms:W3CDTF">2019-12-19T05:48:48Z</dcterms:created>
  <dcterms:modified xsi:type="dcterms:W3CDTF">2026-06-18T05:53:53Z</dcterms:modified>
</cp:coreProperties>
</file>