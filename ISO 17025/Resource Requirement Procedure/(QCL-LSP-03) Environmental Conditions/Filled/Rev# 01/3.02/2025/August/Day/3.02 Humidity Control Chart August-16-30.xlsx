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5\August\Day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MainHall!$A$1:$H$50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2" i="4" l="1"/>
  <c r="F41" i="4" l="1"/>
  <c r="B44" i="4" l="1"/>
  <c r="L42" i="4" l="1"/>
  <c r="L41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F38" i="4"/>
  <c r="L38" i="4"/>
  <c r="F37" i="4"/>
  <c r="L37" i="4"/>
  <c r="F24" i="4"/>
  <c r="L24" i="4"/>
  <c r="F23" i="4"/>
  <c r="L23" i="4"/>
  <c r="F11" i="4" l="1"/>
  <c r="L39" i="4" l="1"/>
  <c r="L40" i="4"/>
  <c r="F39" i="4" l="1"/>
  <c r="F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<sst xmlns="http://schemas.openxmlformats.org/spreadsheetml/2006/main" count="145" uniqueCount="52">
  <si>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</si>
  <si>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</si>
  <si>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</si>
  <si>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</si>
  <si>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</si>
  <si>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</si>
  <si>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</si>
  <si>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</si>
  <si>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</si>
  <si>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</si>
  <si>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</si>
  <si>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</si>
  <si>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</si>
  <si>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</si>
  <si>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</si>
  <si>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</si>
  <si>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</si>
  <si>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</si>
  <si>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</si>
  <si>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</si>
  <si>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</si>
  <si>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</si>
  <si>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</si>
  <si>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</si>
  <si>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</si>
  <si>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</si>
  <si>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</si>
  <si>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</si>
  <si>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</si>
  <si>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</si>
  <si>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</si>
  <si>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</si>
  <si>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</si>
  <si>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</si>
  <si>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</si>
  <si>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</si>
  <si>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</si>
  <si>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</si>
  <si>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</si>
  <si>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</si>
  <si>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</si>
  <si>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 xml:space="preserve">  11:00 AM</t>
  </si>
  <si>
    <t>Sunday</t>
  </si>
  <si>
    <t>Monday</t>
  </si>
  <si>
    <t>Tuesday</t>
  </si>
  <si>
    <t>Wednesday</t>
  </si>
  <si>
    <t>Thursday</t>
  </si>
  <si>
    <t>Friday</t>
  </si>
  <si>
    <t>Saturday</t>
  </si>
  <si>
    <t>VAN/QC/EQP-001</t>
  </si>
  <si>
    <t>Maximum Humidity</t>
  </si>
  <si>
    <t>August-2025 (Second Half)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</si>
</sst>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52</c:v>
                </c:pt>
                <c:pt idx="1">
                  <c:v>48</c:v>
                </c:pt>
                <c:pt idx="2">
                  <c:v>53</c:v>
                </c:pt>
                <c:pt idx="3">
                  <c:v>49</c:v>
                </c:pt>
                <c:pt idx="4">
                  <c:v>54</c:v>
                </c:pt>
                <c:pt idx="5">
                  <c:v>48</c:v>
                </c:pt>
                <c:pt idx="6">
                  <c:v>55</c:v>
                </c:pt>
                <c:pt idx="7">
                  <c:v>47</c:v>
                </c:pt>
                <c:pt idx="8">
                  <c:v>51</c:v>
                </c:pt>
                <c:pt idx="9">
                  <c:v>48</c:v>
                </c:pt>
                <c:pt idx="10">
                  <c:v>51</c:v>
                </c:pt>
                <c:pt idx="11">
                  <c:v>47</c:v>
                </c:pt>
                <c:pt idx="12">
                  <c:v>55</c:v>
                </c:pt>
                <c:pt idx="13">
                  <c:v>49</c:v>
                </c:pt>
                <c:pt idx="14">
                  <c:v>54</c:v>
                </c:pt>
                <c:pt idx="15">
                  <c:v>48</c:v>
                </c:pt>
                <c:pt idx="16">
                  <c:v>53</c:v>
                </c:pt>
                <c:pt idx="17">
                  <c:v>50</c:v>
                </c:pt>
                <c:pt idx="18">
                  <c:v>52</c:v>
                </c:pt>
                <c:pt idx="19">
                  <c:v>48</c:v>
                </c:pt>
                <c:pt idx="20">
                  <c:v>53</c:v>
                </c:pt>
                <c:pt idx="21">
                  <c:v>50</c:v>
                </c:pt>
                <c:pt idx="22">
                  <c:v>50</c:v>
                </c:pt>
                <c:pt idx="23">
                  <c:v>47</c:v>
                </c:pt>
                <c:pt idx="24">
                  <c:v>51</c:v>
                </c:pt>
                <c:pt idx="25">
                  <c:v>46</c:v>
                </c:pt>
                <c:pt idx="26">
                  <c:v>54</c:v>
                </c:pt>
                <c:pt idx="27">
                  <c:v>45</c:v>
                </c:pt>
                <c:pt idx="28">
                  <c:v>52</c:v>
                </c:pt>
                <c:pt idx="29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8"/>
  <sheetViews>
    <sheetView tabSelected="1" view="pageLayout" zoomScaleNormal="100" zoomScaleSheetLayoutView="100" workbookViewId="0">
      <selection activeCell="G4" sqref="G4:H4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41"/>
      <c r="B1" s="42"/>
      <c r="C1" s="53" t="s">
        <v>3</v>
      </c>
      <c r="D1" s="53"/>
      <c r="E1" s="53"/>
      <c r="F1" s="53"/>
      <c r="G1" s="31" t="s">
        <v>37</v>
      </c>
      <c r="H1" s="32" t="s">
        <v>39</v>
      </c>
    </row>
    <row r="2" spans="1:16" customFormat="1" ht="14" customHeight="1" x14ac:dyDescent="0.35">
      <c r="A2" s="43"/>
      <c r="B2" s="44"/>
      <c r="C2" s="54"/>
      <c r="D2" s="54"/>
      <c r="E2" s="54"/>
      <c r="F2" s="54"/>
      <c r="G2" s="31" t="s">
        <v>38</v>
      </c>
      <c r="H2" s="33">
        <v>45301</v>
      </c>
    </row>
    <row r="3" spans="1:16" ht="14" customHeight="1" x14ac:dyDescent="0.45">
      <c r="A3" s="45"/>
      <c r="B3" s="46"/>
      <c r="C3" s="27"/>
      <c r="D3" s="28"/>
      <c r="E3" s="28"/>
      <c r="F3" s="28"/>
      <c r="G3" s="31" t="s">
        <v>40</v>
      </c>
      <c r="H3" s="34">
        <v>1</v>
      </c>
    </row>
    <row r="4" spans="1:16" ht="14" customHeight="1" x14ac:dyDescent="0.45">
      <c r="A4" s="35" t="s">
        <v>4</v>
      </c>
      <c r="B4" s="35" t="s">
        <v>34</v>
      </c>
      <c r="C4" s="26"/>
      <c r="D4" s="26"/>
      <c r="E4" s="49" t="s">
        <v>17</v>
      </c>
      <c r="F4" s="50"/>
      <c r="G4" s="47" t="s">
        <v>51</v>
      </c>
      <c r="H4" s="48"/>
    </row>
    <row r="5" spans="1:16" ht="12.5" customHeight="1" x14ac:dyDescent="0.45">
      <c r="A5" s="35" t="s">
        <v>15</v>
      </c>
      <c r="B5" s="35" t="s">
        <v>35</v>
      </c>
      <c r="C5" s="26"/>
      <c r="D5" s="26"/>
      <c r="E5" s="49" t="s">
        <v>16</v>
      </c>
      <c r="F5" s="50"/>
      <c r="G5" s="49" t="s">
        <v>36</v>
      </c>
      <c r="H5" s="50"/>
    </row>
    <row r="6" spans="1:16" ht="14" customHeight="1" x14ac:dyDescent="0.45">
      <c r="A6" s="35" t="s">
        <v>23</v>
      </c>
      <c r="B6" s="35">
        <v>50</v>
      </c>
      <c r="C6" s="26"/>
      <c r="D6" s="26"/>
      <c r="E6" s="49" t="s">
        <v>18</v>
      </c>
      <c r="F6" s="50"/>
      <c r="G6" s="51" t="s">
        <v>49</v>
      </c>
      <c r="H6" s="52"/>
    </row>
    <row r="7" spans="1:16" ht="14.5" customHeight="1" x14ac:dyDescent="0.45">
      <c r="A7" s="35" t="s">
        <v>24</v>
      </c>
      <c r="B7" s="35">
        <v>35</v>
      </c>
      <c r="C7" s="29"/>
      <c r="D7" s="30"/>
      <c r="E7" s="55" t="s">
        <v>26</v>
      </c>
      <c r="F7" s="56"/>
      <c r="G7" s="51">
        <v>65</v>
      </c>
      <c r="H7" s="52"/>
    </row>
    <row r="8" spans="1:16" ht="14.5" customHeight="1" x14ac:dyDescent="0.45">
      <c r="A8" s="35" t="s">
        <v>25</v>
      </c>
      <c r="B8" s="35">
        <v>30</v>
      </c>
      <c r="C8" s="36"/>
      <c r="D8" s="37"/>
      <c r="E8" s="55" t="s">
        <v>27</v>
      </c>
      <c r="F8" s="56"/>
      <c r="G8" s="51">
        <v>70</v>
      </c>
      <c r="H8" s="52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45885</v>
      </c>
      <c r="C11" s="10" t="s">
        <v>48</v>
      </c>
      <c r="D11" s="18">
        <v>0.45833333333333331</v>
      </c>
      <c r="E11" s="12">
        <v>52</v>
      </c>
      <c r="F11" s="12">
        <f>E11-$B$6</f>
        <v>2</v>
      </c>
      <c r="G11" s="17" t="s">
        <v>6</v>
      </c>
      <c r="H11" s="13" t="s">
        <v>14</v>
      </c>
      <c r="J11" s="5">
        <f t="shared" ref="J11:J42" si="0">A11</f>
        <v>1</v>
      </c>
      <c r="K11" s="7">
        <v>50</v>
      </c>
      <c r="L11" s="7">
        <f t="shared" ref="L11:L38" si="1">E11</f>
        <v>52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45885</v>
      </c>
      <c r="C12" s="10" t="s">
        <v>48</v>
      </c>
      <c r="D12" s="18">
        <v>0.625</v>
      </c>
      <c r="E12" s="12">
        <v>48</v>
      </c>
      <c r="F12" s="12">
        <f t="shared" ref="F12:F38" si="2">E12-$B$6</f>
        <v>-2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48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45886</v>
      </c>
      <c r="C13" s="39" t="s">
        <v>42</v>
      </c>
      <c r="D13" s="18">
        <v>0.45833333333333331</v>
      </c>
      <c r="E13" s="12">
        <v>53</v>
      </c>
      <c r="F13" s="12">
        <f t="shared" si="2"/>
        <v>3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53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45886</v>
      </c>
      <c r="C14" s="39" t="s">
        <v>42</v>
      </c>
      <c r="D14" s="18">
        <v>0.625</v>
      </c>
      <c r="E14" s="12">
        <v>49</v>
      </c>
      <c r="F14" s="12">
        <f t="shared" si="2"/>
        <v>-1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49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45887</v>
      </c>
      <c r="C15" s="10" t="s">
        <v>43</v>
      </c>
      <c r="D15" s="18">
        <v>0.45833333333333331</v>
      </c>
      <c r="E15" s="12">
        <v>54</v>
      </c>
      <c r="F15" s="12">
        <f t="shared" si="2"/>
        <v>4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54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45887</v>
      </c>
      <c r="C16" s="10" t="s">
        <v>43</v>
      </c>
      <c r="D16" s="18">
        <v>0.625</v>
      </c>
      <c r="E16" s="12">
        <v>48</v>
      </c>
      <c r="F16" s="12">
        <f t="shared" si="2"/>
        <v>-2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48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45888</v>
      </c>
      <c r="C17" s="10" t="s">
        <v>44</v>
      </c>
      <c r="D17" s="18">
        <v>0.45833333333333331</v>
      </c>
      <c r="E17" s="12">
        <v>55</v>
      </c>
      <c r="F17" s="12">
        <f t="shared" si="2"/>
        <v>5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55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45888</v>
      </c>
      <c r="C18" s="10" t="s">
        <v>44</v>
      </c>
      <c r="D18" s="18">
        <v>0.625</v>
      </c>
      <c r="E18" s="12">
        <v>47</v>
      </c>
      <c r="F18" s="12">
        <f t="shared" si="2"/>
        <v>-3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47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45889</v>
      </c>
      <c r="C19" s="10" t="s">
        <v>45</v>
      </c>
      <c r="D19" s="18">
        <v>0.45833333333333331</v>
      </c>
      <c r="E19" s="12">
        <v>51</v>
      </c>
      <c r="F19" s="12">
        <f t="shared" si="2"/>
        <v>1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1"/>
        <v>51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45889</v>
      </c>
      <c r="C20" s="10" t="s">
        <v>45</v>
      </c>
      <c r="D20" s="18">
        <v>0.625</v>
      </c>
      <c r="E20" s="12">
        <v>48</v>
      </c>
      <c r="F20" s="12">
        <f t="shared" si="2"/>
        <v>-2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1"/>
        <v>48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45890</v>
      </c>
      <c r="C21" s="10" t="s">
        <v>46</v>
      </c>
      <c r="D21" s="18">
        <v>0.45833333333333331</v>
      </c>
      <c r="E21" s="12">
        <v>51</v>
      </c>
      <c r="F21" s="12">
        <f t="shared" si="2"/>
        <v>1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1"/>
        <v>51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45890</v>
      </c>
      <c r="C22" s="10" t="s">
        <v>46</v>
      </c>
      <c r="D22" s="18">
        <v>0.625</v>
      </c>
      <c r="E22" s="12">
        <v>47</v>
      </c>
      <c r="F22" s="12">
        <f t="shared" si="2"/>
        <v>-3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1"/>
        <v>47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45891</v>
      </c>
      <c r="C23" s="10" t="s">
        <v>47</v>
      </c>
      <c r="D23" s="18">
        <v>0.45833333333333331</v>
      </c>
      <c r="E23" s="12">
        <v>55</v>
      </c>
      <c r="F23" s="12">
        <f t="shared" si="2"/>
        <v>5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1"/>
        <v>55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45891</v>
      </c>
      <c r="C24" s="10" t="s">
        <v>47</v>
      </c>
      <c r="D24" s="18">
        <v>0.625</v>
      </c>
      <c r="E24" s="12">
        <v>49</v>
      </c>
      <c r="F24" s="12">
        <f t="shared" si="2"/>
        <v>-1</v>
      </c>
      <c r="G24" s="17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1"/>
        <v>49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45892</v>
      </c>
      <c r="C25" s="10" t="s">
        <v>48</v>
      </c>
      <c r="D25" s="18">
        <v>0.45833333333333331</v>
      </c>
      <c r="E25" s="12">
        <v>54</v>
      </c>
      <c r="F25" s="12">
        <f t="shared" si="2"/>
        <v>4</v>
      </c>
      <c r="G25" s="17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si="1"/>
        <v>54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45892</v>
      </c>
      <c r="C26" s="10" t="s">
        <v>48</v>
      </c>
      <c r="D26" s="18">
        <v>0.625</v>
      </c>
      <c r="E26" s="12">
        <v>48</v>
      </c>
      <c r="F26" s="12">
        <f t="shared" si="2"/>
        <v>-2</v>
      </c>
      <c r="G26" s="17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1"/>
        <v>48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45893</v>
      </c>
      <c r="C27" s="40" t="s">
        <v>42</v>
      </c>
      <c r="D27" s="18">
        <v>0.45833333333333331</v>
      </c>
      <c r="E27" s="12">
        <v>53</v>
      </c>
      <c r="F27" s="12">
        <f t="shared" si="2"/>
        <v>3</v>
      </c>
      <c r="G27" s="17" t="s">
        <v>6</v>
      </c>
      <c r="H27" s="13" t="s">
        <v>14</v>
      </c>
      <c r="J27" s="5">
        <f t="shared" si="0"/>
        <v>17</v>
      </c>
      <c r="K27" s="7">
        <v>50</v>
      </c>
      <c r="L27" s="7">
        <f t="shared" si="1"/>
        <v>53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45893</v>
      </c>
      <c r="C28" s="40" t="s">
        <v>42</v>
      </c>
      <c r="D28" s="18">
        <v>0.625</v>
      </c>
      <c r="E28" s="12">
        <v>50</v>
      </c>
      <c r="F28" s="12">
        <f t="shared" si="2"/>
        <v>0</v>
      </c>
      <c r="G28" s="17" t="s">
        <v>6</v>
      </c>
      <c r="H28" s="13" t="s">
        <v>14</v>
      </c>
      <c r="J28" s="5">
        <f t="shared" si="0"/>
        <v>18</v>
      </c>
      <c r="K28" s="7">
        <v>50</v>
      </c>
      <c r="L28" s="7">
        <f t="shared" si="1"/>
        <v>50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45894</v>
      </c>
      <c r="C29" s="40" t="s">
        <v>43</v>
      </c>
      <c r="D29" s="18">
        <v>0.45833333333333331</v>
      </c>
      <c r="E29" s="12">
        <v>52</v>
      </c>
      <c r="F29" s="12">
        <f t="shared" si="2"/>
        <v>2</v>
      </c>
      <c r="G29" s="17" t="s">
        <v>6</v>
      </c>
      <c r="H29" s="13" t="s">
        <v>14</v>
      </c>
      <c r="J29" s="5">
        <f t="shared" si="0"/>
        <v>19</v>
      </c>
      <c r="K29" s="7">
        <v>50</v>
      </c>
      <c r="L29" s="7">
        <f t="shared" si="1"/>
        <v>52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45894</v>
      </c>
      <c r="C30" s="40" t="s">
        <v>43</v>
      </c>
      <c r="D30" s="18">
        <v>0.625</v>
      </c>
      <c r="E30" s="12">
        <v>48</v>
      </c>
      <c r="F30" s="12">
        <f t="shared" si="2"/>
        <v>-2</v>
      </c>
      <c r="G30" s="17" t="s">
        <v>6</v>
      </c>
      <c r="H30" s="13" t="s">
        <v>14</v>
      </c>
      <c r="J30" s="5">
        <f t="shared" si="0"/>
        <v>20</v>
      </c>
      <c r="K30" s="7">
        <v>50</v>
      </c>
      <c r="L30" s="7">
        <f t="shared" si="1"/>
        <v>48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45895</v>
      </c>
      <c r="C31" s="40" t="s">
        <v>44</v>
      </c>
      <c r="D31" s="18">
        <v>0.45833333333333331</v>
      </c>
      <c r="E31" s="12">
        <v>53</v>
      </c>
      <c r="F31" s="12">
        <f t="shared" si="2"/>
        <v>3</v>
      </c>
      <c r="G31" s="17" t="s">
        <v>6</v>
      </c>
      <c r="H31" s="13" t="s">
        <v>14</v>
      </c>
      <c r="J31" s="5">
        <f t="shared" si="0"/>
        <v>21</v>
      </c>
      <c r="K31" s="7">
        <v>50</v>
      </c>
      <c r="L31" s="7">
        <f t="shared" si="1"/>
        <v>53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45895</v>
      </c>
      <c r="C32" s="40" t="s">
        <v>44</v>
      </c>
      <c r="D32" s="18">
        <v>0.625</v>
      </c>
      <c r="E32" s="12">
        <v>50</v>
      </c>
      <c r="F32" s="12">
        <f t="shared" si="2"/>
        <v>0</v>
      </c>
      <c r="G32" s="17" t="s">
        <v>6</v>
      </c>
      <c r="H32" s="13" t="s">
        <v>14</v>
      </c>
      <c r="J32" s="5">
        <f t="shared" si="0"/>
        <v>22</v>
      </c>
      <c r="K32" s="7">
        <v>50</v>
      </c>
      <c r="L32" s="7">
        <f t="shared" si="1"/>
        <v>50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45896</v>
      </c>
      <c r="C33" s="40" t="s">
        <v>45</v>
      </c>
      <c r="D33" s="18">
        <v>0.45833333333333331</v>
      </c>
      <c r="E33" s="12">
        <v>50</v>
      </c>
      <c r="F33" s="12">
        <f t="shared" si="2"/>
        <v>0</v>
      </c>
      <c r="G33" s="17" t="s">
        <v>6</v>
      </c>
      <c r="H33" s="13" t="s">
        <v>14</v>
      </c>
      <c r="J33" s="5">
        <f t="shared" si="0"/>
        <v>23</v>
      </c>
      <c r="K33" s="7">
        <v>50</v>
      </c>
      <c r="L33" s="7">
        <f t="shared" si="1"/>
        <v>50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10">
        <v>45896</v>
      </c>
      <c r="C34" s="40" t="s">
        <v>45</v>
      </c>
      <c r="D34" s="18">
        <v>0.625</v>
      </c>
      <c r="E34" s="12">
        <v>47</v>
      </c>
      <c r="F34" s="12">
        <f t="shared" si="2"/>
        <v>-3</v>
      </c>
      <c r="G34" s="17" t="s">
        <v>6</v>
      </c>
      <c r="H34" s="13" t="s">
        <v>14</v>
      </c>
      <c r="J34" s="5">
        <f t="shared" si="0"/>
        <v>24</v>
      </c>
      <c r="K34" s="7">
        <v>50</v>
      </c>
      <c r="L34" s="7">
        <f t="shared" si="1"/>
        <v>47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25</v>
      </c>
      <c r="B35" s="10">
        <v>45897</v>
      </c>
      <c r="C35" s="40" t="s">
        <v>46</v>
      </c>
      <c r="D35" s="38" t="s">
        <v>41</v>
      </c>
      <c r="E35" s="12">
        <v>51</v>
      </c>
      <c r="F35" s="12">
        <f t="shared" si="2"/>
        <v>1</v>
      </c>
      <c r="G35" s="17" t="s">
        <v>6</v>
      </c>
      <c r="H35" s="13" t="s">
        <v>14</v>
      </c>
      <c r="J35" s="5">
        <f t="shared" si="0"/>
        <v>25</v>
      </c>
      <c r="K35" s="7">
        <v>50</v>
      </c>
      <c r="L35" s="7">
        <f t="shared" si="1"/>
        <v>51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45897</v>
      </c>
      <c r="C36" s="40" t="s">
        <v>46</v>
      </c>
      <c r="D36" s="18">
        <v>0.625</v>
      </c>
      <c r="E36" s="12">
        <v>46</v>
      </c>
      <c r="F36" s="12">
        <f t="shared" si="2"/>
        <v>-4</v>
      </c>
      <c r="G36" s="17" t="s">
        <v>6</v>
      </c>
      <c r="H36" s="13" t="s">
        <v>14</v>
      </c>
      <c r="J36" s="5">
        <f t="shared" si="0"/>
        <v>26</v>
      </c>
      <c r="K36" s="7">
        <v>50</v>
      </c>
      <c r="L36" s="7">
        <f t="shared" si="1"/>
        <v>46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11">
        <v>27</v>
      </c>
      <c r="B37" s="10">
        <v>45898</v>
      </c>
      <c r="C37" s="40" t="s">
        <v>47</v>
      </c>
      <c r="D37" s="18">
        <v>0.45833333333333331</v>
      </c>
      <c r="E37" s="12">
        <v>54</v>
      </c>
      <c r="F37" s="12">
        <f t="shared" si="2"/>
        <v>4</v>
      </c>
      <c r="G37" s="17" t="s">
        <v>6</v>
      </c>
      <c r="H37" s="13" t="s">
        <v>14</v>
      </c>
      <c r="J37" s="5">
        <f t="shared" si="0"/>
        <v>27</v>
      </c>
      <c r="K37" s="7">
        <v>50</v>
      </c>
      <c r="L37" s="7">
        <f t="shared" si="1"/>
        <v>54</v>
      </c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11">
        <v>28</v>
      </c>
      <c r="B38" s="10">
        <v>45898</v>
      </c>
      <c r="C38" s="40" t="s">
        <v>47</v>
      </c>
      <c r="D38" s="18">
        <v>0.625</v>
      </c>
      <c r="E38" s="12">
        <v>45</v>
      </c>
      <c r="F38" s="12">
        <f t="shared" si="2"/>
        <v>-5</v>
      </c>
      <c r="G38" s="17" t="s">
        <v>6</v>
      </c>
      <c r="H38" s="13" t="s">
        <v>14</v>
      </c>
      <c r="J38" s="5">
        <f t="shared" si="0"/>
        <v>28</v>
      </c>
      <c r="K38" s="7">
        <v>50</v>
      </c>
      <c r="L38" s="7">
        <f t="shared" si="1"/>
        <v>45</v>
      </c>
      <c r="M38" s="7">
        <v>35</v>
      </c>
      <c r="N38" s="7">
        <v>65</v>
      </c>
      <c r="O38" s="7">
        <v>30</v>
      </c>
      <c r="P38" s="7">
        <v>70</v>
      </c>
    </row>
    <row r="39" spans="1:16" ht="20.149999999999999" customHeight="1" x14ac:dyDescent="0.45">
      <c r="A39" s="11">
        <v>29</v>
      </c>
      <c r="B39" s="10">
        <v>45899</v>
      </c>
      <c r="C39" s="40" t="s">
        <v>48</v>
      </c>
      <c r="D39" s="18">
        <v>0.45833333333333331</v>
      </c>
      <c r="E39" s="12">
        <v>52</v>
      </c>
      <c r="F39" s="12">
        <f t="shared" ref="F39:F42" si="3">E39-$B$6</f>
        <v>2</v>
      </c>
      <c r="G39" s="17" t="s">
        <v>6</v>
      </c>
      <c r="H39" s="13" t="s">
        <v>14</v>
      </c>
      <c r="J39" s="5">
        <f t="shared" si="0"/>
        <v>29</v>
      </c>
      <c r="K39" s="7">
        <v>50</v>
      </c>
      <c r="L39" s="7">
        <f t="shared" ref="L39:L41" si="4">E39</f>
        <v>52</v>
      </c>
      <c r="M39" s="7">
        <v>35</v>
      </c>
      <c r="N39" s="7">
        <v>65</v>
      </c>
      <c r="O39" s="7">
        <v>30</v>
      </c>
      <c r="P39" s="7">
        <v>70</v>
      </c>
    </row>
    <row r="40" spans="1:16" ht="20.149999999999999" customHeight="1" x14ac:dyDescent="0.45">
      <c r="A40" s="11">
        <v>30</v>
      </c>
      <c r="B40" s="10">
        <v>45899</v>
      </c>
      <c r="C40" s="40" t="s">
        <v>48</v>
      </c>
      <c r="D40" s="18">
        <v>0.625</v>
      </c>
      <c r="E40" s="12">
        <v>48</v>
      </c>
      <c r="F40" s="12">
        <f t="shared" si="3"/>
        <v>-2</v>
      </c>
      <c r="G40" s="17" t="s">
        <v>6</v>
      </c>
      <c r="H40" s="13" t="s">
        <v>14</v>
      </c>
      <c r="J40" s="5">
        <f t="shared" si="0"/>
        <v>30</v>
      </c>
      <c r="K40" s="7">
        <v>50</v>
      </c>
      <c r="L40" s="7">
        <f t="shared" si="4"/>
        <v>48</v>
      </c>
      <c r="M40" s="7">
        <v>35</v>
      </c>
      <c r="N40" s="7">
        <v>65</v>
      </c>
      <c r="O40" s="7">
        <v>30</v>
      </c>
      <c r="P40" s="7">
        <v>70</v>
      </c>
    </row>
    <row r="41" spans="1:16" ht="20.149999999999999" customHeight="1" x14ac:dyDescent="0.45">
      <c r="A41" s="11">
        <v>31</v>
      </c>
      <c r="B41" s="10">
        <v>45900</v>
      </c>
      <c r="C41" s="40" t="s">
        <v>42</v>
      </c>
      <c r="D41" s="18">
        <v>0.45833333333333331</v>
      </c>
      <c r="E41" s="12">
        <v>49</v>
      </c>
      <c r="F41" s="12">
        <f t="shared" si="3"/>
        <v>-1</v>
      </c>
      <c r="G41" s="17" t="s">
        <v>6</v>
      </c>
      <c r="H41" s="13" t="s">
        <v>14</v>
      </c>
      <c r="J41" s="5">
        <f t="shared" si="0"/>
        <v>31</v>
      </c>
      <c r="K41" s="7">
        <v>50</v>
      </c>
      <c r="L41" s="7">
        <f t="shared" si="4"/>
        <v>49</v>
      </c>
      <c r="M41" s="7">
        <v>35</v>
      </c>
      <c r="N41" s="7">
        <v>65</v>
      </c>
      <c r="O41" s="7">
        <v>30</v>
      </c>
      <c r="P41" s="7">
        <v>70</v>
      </c>
    </row>
    <row r="42" spans="1:16" ht="20.149999999999999" customHeight="1" x14ac:dyDescent="0.45">
      <c r="A42" s="11">
        <v>32</v>
      </c>
      <c r="B42" s="10">
        <v>45900</v>
      </c>
      <c r="C42" s="40" t="s">
        <v>42</v>
      </c>
      <c r="D42" s="18">
        <v>0.625</v>
      </c>
      <c r="E42" s="12">
        <v>45</v>
      </c>
      <c r="F42" s="12">
        <f t="shared" si="3"/>
        <v>-5</v>
      </c>
      <c r="G42" s="17" t="s">
        <v>6</v>
      </c>
      <c r="H42" s="13" t="s">
        <v>14</v>
      </c>
      <c r="J42" s="5">
        <f t="shared" si="0"/>
        <v>32</v>
      </c>
      <c r="K42" s="7">
        <v>50</v>
      </c>
      <c r="L42" s="7">
        <f>E42</f>
        <v>45</v>
      </c>
      <c r="M42" s="7">
        <v>35</v>
      </c>
      <c r="N42" s="7">
        <v>65</v>
      </c>
      <c r="O42" s="7">
        <v>30</v>
      </c>
      <c r="P42" s="7">
        <v>70</v>
      </c>
    </row>
    <row r="43" spans="1:16" ht="20.149999999999999" customHeight="1" x14ac:dyDescent="0.45">
      <c r="A43" s="11"/>
      <c r="B43" s="10"/>
      <c r="C43" s="40"/>
      <c r="D43" s="18"/>
      <c r="E43" s="12"/>
      <c r="F43" s="12"/>
      <c r="G43" s="17"/>
      <c r="H43" s="13"/>
      <c r="K43" s="7"/>
      <c r="L43" s="7"/>
      <c r="M43" s="7"/>
      <c r="N43" s="7"/>
      <c r="O43" s="7"/>
      <c r="P43" s="7"/>
    </row>
    <row r="44" spans="1:16" ht="20.149999999999999" customHeight="1" x14ac:dyDescent="0.45">
      <c r="A44" s="10" t="s">
        <v>32</v>
      </c>
      <c r="B44" s="16">
        <f>AVERAGE(E11:E44)</f>
        <v>50.0625</v>
      </c>
      <c r="C44" s="10" t="s">
        <v>50</v>
      </c>
      <c r="D44" s="12">
        <v>55</v>
      </c>
      <c r="E44" s="12" t="s">
        <v>33</v>
      </c>
      <c r="F44" s="12">
        <v>45</v>
      </c>
      <c r="G44" s="17" t="s">
        <v>6</v>
      </c>
      <c r="H44" s="13" t="s">
        <v>14</v>
      </c>
      <c r="K44" s="7"/>
      <c r="L44" s="7"/>
      <c r="M44" s="7"/>
      <c r="N44" s="7"/>
      <c r="O44" s="7"/>
      <c r="P44" s="7"/>
    </row>
    <row r="45" spans="1:16" ht="15.5" customHeight="1" x14ac:dyDescent="0.45"/>
    <row r="46" spans="1:16" ht="58" customHeight="1" x14ac:dyDescent="0.45">
      <c r="A46" s="24" t="s">
        <v>7</v>
      </c>
      <c r="B46" s="14"/>
      <c r="C46" s="14"/>
      <c r="D46" s="15"/>
      <c r="E46" s="15"/>
      <c r="F46" s="15"/>
      <c r="G46" s="15"/>
      <c r="H46" s="15"/>
    </row>
    <row r="47" spans="1:16" ht="32.5" customHeight="1" x14ac:dyDescent="0.45">
      <c r="A47" s="14"/>
      <c r="B47" s="14"/>
      <c r="C47" s="14"/>
      <c r="D47" s="14" t="s">
        <v>0</v>
      </c>
      <c r="E47" s="14"/>
      <c r="F47" s="14"/>
      <c r="G47" s="14" t="s">
        <v>1</v>
      </c>
      <c r="H47" s="14" t="s">
        <v>2</v>
      </c>
    </row>
    <row r="48" spans="1:16" ht="45.5" customHeight="1" x14ac:dyDescent="0.45">
      <c r="A48" s="14"/>
      <c r="C48" s="14"/>
      <c r="D48" s="14"/>
      <c r="E48" s="14"/>
      <c r="F48" s="14"/>
      <c r="G48" s="14"/>
      <c r="H48" s="14"/>
    </row>
    <row r="49" spans="1:12" x14ac:dyDescent="0.45">
      <c r="A49" s="8" t="s">
        <v>13</v>
      </c>
      <c r="F49" s="9"/>
    </row>
    <row r="50" spans="1:12" ht="15" customHeight="1" x14ac:dyDescent="0.45">
      <c r="D50" s="25" t="s">
        <v>0</v>
      </c>
      <c r="E50" s="25"/>
      <c r="F50" s="14"/>
      <c r="G50" s="25" t="s">
        <v>1</v>
      </c>
      <c r="H50" s="25" t="s">
        <v>2</v>
      </c>
    </row>
    <row r="51" spans="1:12" ht="31.5" customHeight="1" x14ac:dyDescent="0.45"/>
    <row r="52" spans="1:12" ht="40" customHeight="1" x14ac:dyDescent="0.45">
      <c r="B52" s="19"/>
    </row>
    <row r="53" spans="1:12" ht="39.5" customHeight="1" x14ac:dyDescent="0.45">
      <c r="A53"/>
      <c r="C53"/>
      <c r="D53"/>
      <c r="E53"/>
      <c r="F53"/>
      <c r="G53"/>
      <c r="H53"/>
      <c r="I53"/>
    </row>
    <row r="54" spans="1:12" ht="44.5" customHeight="1" x14ac:dyDescent="0.45">
      <c r="A54" s="20"/>
      <c r="C54" s="19"/>
      <c r="D54" s="21"/>
      <c r="E54" s="19"/>
      <c r="F54" s="21"/>
      <c r="G54" s="22"/>
      <c r="H54" s="23"/>
      <c r="I54"/>
    </row>
    <row r="55" spans="1:12" x14ac:dyDescent="0.45">
      <c r="J55"/>
      <c r="K55"/>
      <c r="L55"/>
    </row>
    <row r="56" spans="1:12" x14ac:dyDescent="0.45">
      <c r="J56"/>
      <c r="K56"/>
      <c r="L56"/>
    </row>
    <row r="57" spans="1:12" customFormat="1" x14ac:dyDescent="0.4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customFormat="1" x14ac:dyDescent="0.4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</sheetData>
  <mergeCells count="12">
    <mergeCell ref="G8:H8"/>
    <mergeCell ref="C1:F2"/>
    <mergeCell ref="E7:F7"/>
    <mergeCell ref="E8:F8"/>
    <mergeCell ref="E4:F4"/>
    <mergeCell ref="E5:F5"/>
    <mergeCell ref="E6:F6"/>
    <mergeCell ref="A1:B3"/>
    <mergeCell ref="G4:H4"/>
    <mergeCell ref="G5:H5"/>
    <mergeCell ref="G6:H6"/>
    <mergeCell ref="G7:H7"/>
  </mergeCells>
  <printOptions horizontalCentered="1"/>
  <pageMargins left="0.45" right="0.5" top="0.32583333333333331" bottom="0.25" header="0.3" footer="0.3"/>
  <pageSetup paperSize="9" scale="58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2026-06-18T06:31:53Z</cp:lastPrinted>
  <dcterms:created xsi:type="dcterms:W3CDTF">2019-12-19T05:48:48Z</dcterms:created>
  <dcterms:modified xsi:type="dcterms:W3CDTF">2026-06-18T06:31:57Z</dcterms:modified>
</cp:coreProperties>
</file>