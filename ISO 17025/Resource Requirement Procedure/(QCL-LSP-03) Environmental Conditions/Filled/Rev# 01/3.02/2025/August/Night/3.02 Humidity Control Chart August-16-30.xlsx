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ugust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4" l="1"/>
  <c r="F42" i="4" l="1"/>
  <c r="F41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<sst xmlns="http://schemas.openxmlformats.org/spreadsheetml/2006/main" count="145" uniqueCount="52">
  <si>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</si>
  <si>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</si>
  <si>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</si>
  <si>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</si>
  <si>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</si>
  <si>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</si>
  <si>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</si>
  <si>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</si>
  <si>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</si>
  <si>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</si>
  <si>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</si>
  <si>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</si>
  <si>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</si>
  <si>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</si>
  <si>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</si>
  <si>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</si>
  <si>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</si>
  <si>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</si>
  <si>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</si>
  <si>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</si>
  <si>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</si>
  <si>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</si>
  <si>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</si>
  <si>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</si>
  <si>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</si>
  <si>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</si>
  <si>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</si>
  <si>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</si>
  <si>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</si>
  <si>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</si>
  <si>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</si>
  <si>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</si>
  <si>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</si>
  <si>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</si>
  <si>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</si>
  <si>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</si>
  <si>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</si>
  <si>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</si>
  <si>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</si>
  <si>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</si>
  <si>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</si>
  <si>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</si>
  <si>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</si>
  <si>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</si>
  <si>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</si>
  <si>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</si>
  <si>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</si>
  <si>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</si>
  <si>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</si>
  <si>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</si>
  <si>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August-2025 (Second Half)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</si>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</sst>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60</c:v>
                </c:pt>
                <c:pt idx="1">
                  <c:v>61</c:v>
                </c:pt>
                <c:pt idx="2">
                  <c:v>57</c:v>
                </c:pt>
                <c:pt idx="3">
                  <c:v>60</c:v>
                </c:pt>
                <c:pt idx="4">
                  <c:v>58</c:v>
                </c:pt>
                <c:pt idx="5">
                  <c:v>59</c:v>
                </c:pt>
                <c:pt idx="6">
                  <c:v>57</c:v>
                </c:pt>
                <c:pt idx="7">
                  <c:v>59</c:v>
                </c:pt>
                <c:pt idx="8">
                  <c:v>59</c:v>
                </c:pt>
                <c:pt idx="9">
                  <c:v>62</c:v>
                </c:pt>
                <c:pt idx="10">
                  <c:v>60</c:v>
                </c:pt>
                <c:pt idx="11">
                  <c:v>62</c:v>
                </c:pt>
                <c:pt idx="12">
                  <c:v>58</c:v>
                </c:pt>
                <c:pt idx="13">
                  <c:v>60</c:v>
                </c:pt>
                <c:pt idx="14">
                  <c:v>59</c:v>
                </c:pt>
                <c:pt idx="15">
                  <c:v>61</c:v>
                </c:pt>
                <c:pt idx="16">
                  <c:v>60</c:v>
                </c:pt>
                <c:pt idx="17">
                  <c:v>62</c:v>
                </c:pt>
                <c:pt idx="18">
                  <c:v>57</c:v>
                </c:pt>
                <c:pt idx="19">
                  <c:v>59</c:v>
                </c:pt>
                <c:pt idx="20">
                  <c:v>61</c:v>
                </c:pt>
                <c:pt idx="21">
                  <c:v>63</c:v>
                </c:pt>
                <c:pt idx="22">
                  <c:v>57</c:v>
                </c:pt>
                <c:pt idx="23">
                  <c:v>59</c:v>
                </c:pt>
                <c:pt idx="24">
                  <c:v>56</c:v>
                </c:pt>
                <c:pt idx="25">
                  <c:v>59</c:v>
                </c:pt>
                <c:pt idx="26">
                  <c:v>60</c:v>
                </c:pt>
                <c:pt idx="27">
                  <c:v>62</c:v>
                </c:pt>
                <c:pt idx="28">
                  <c:v>58</c:v>
                </c:pt>
                <c:pt idx="2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10" zoomScaleNormal="100" zoomScaleSheetLayoutView="100" workbookViewId="0">
      <selection activeCell="C18" sqref="C18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37</v>
      </c>
      <c r="H1" s="32" t="s">
        <v>39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38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46" t="s">
        <v>50</v>
      </c>
      <c r="H4" s="4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49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45885</v>
      </c>
      <c r="C11" s="39" t="s">
        <v>48</v>
      </c>
      <c r="D11" s="18">
        <v>0.95833333333333337</v>
      </c>
      <c r="E11" s="12">
        <v>60</v>
      </c>
      <c r="F11" s="12">
        <f>E11-$B$6</f>
        <v>10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60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45885</v>
      </c>
      <c r="C12" s="39" t="s">
        <v>48</v>
      </c>
      <c r="D12" s="18">
        <v>0.125</v>
      </c>
      <c r="E12" s="12">
        <v>61</v>
      </c>
      <c r="F12" s="12">
        <f t="shared" ref="F12:F38" si="2">E12-$B$6</f>
        <v>11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45886</v>
      </c>
      <c r="C13" s="39" t="s">
        <v>42</v>
      </c>
      <c r="D13" s="18">
        <v>0.95833333333333337</v>
      </c>
      <c r="E13" s="12">
        <v>57</v>
      </c>
      <c r="F13" s="12">
        <f t="shared" si="2"/>
        <v>7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57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45886</v>
      </c>
      <c r="C14" s="39" t="s">
        <v>42</v>
      </c>
      <c r="D14" s="18">
        <v>0.125</v>
      </c>
      <c r="E14" s="12">
        <v>60</v>
      </c>
      <c r="F14" s="12">
        <f t="shared" si="2"/>
        <v>10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45887</v>
      </c>
      <c r="C15" s="39" t="s">
        <v>43</v>
      </c>
      <c r="D15" s="18">
        <v>0.95833333333333337</v>
      </c>
      <c r="E15" s="12">
        <v>58</v>
      </c>
      <c r="F15" s="12">
        <f t="shared" si="2"/>
        <v>8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58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45887</v>
      </c>
      <c r="C16" s="39" t="s">
        <v>43</v>
      </c>
      <c r="D16" s="18">
        <v>0.125</v>
      </c>
      <c r="E16" s="12">
        <v>59</v>
      </c>
      <c r="F16" s="12">
        <f t="shared" si="2"/>
        <v>9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45888</v>
      </c>
      <c r="C17" s="39" t="s">
        <v>44</v>
      </c>
      <c r="D17" s="18">
        <v>0.95833333333333337</v>
      </c>
      <c r="E17" s="12">
        <v>57</v>
      </c>
      <c r="F17" s="12">
        <f t="shared" si="2"/>
        <v>7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57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45888</v>
      </c>
      <c r="C18" s="39" t="s">
        <v>44</v>
      </c>
      <c r="D18" s="18">
        <v>0.125</v>
      </c>
      <c r="E18" s="12">
        <v>59</v>
      </c>
      <c r="F18" s="12">
        <f t="shared" si="2"/>
        <v>9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45889</v>
      </c>
      <c r="C19" s="39" t="s">
        <v>45</v>
      </c>
      <c r="D19" s="18">
        <v>0.95833333333333337</v>
      </c>
      <c r="E19" s="12">
        <v>59</v>
      </c>
      <c r="F19" s="12">
        <f t="shared" si="2"/>
        <v>9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45889</v>
      </c>
      <c r="C20" s="39" t="s">
        <v>45</v>
      </c>
      <c r="D20" s="18">
        <v>0.125</v>
      </c>
      <c r="E20" s="12">
        <v>62</v>
      </c>
      <c r="F20" s="12">
        <f t="shared" si="2"/>
        <v>12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45890</v>
      </c>
      <c r="C21" s="39" t="s">
        <v>46</v>
      </c>
      <c r="D21" s="18">
        <v>0.95833333333333337</v>
      </c>
      <c r="E21" s="12">
        <v>60</v>
      </c>
      <c r="F21" s="12">
        <f t="shared" si="2"/>
        <v>10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60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45890</v>
      </c>
      <c r="C22" s="39" t="s">
        <v>46</v>
      </c>
      <c r="D22" s="18">
        <v>0.125</v>
      </c>
      <c r="E22" s="12">
        <v>62</v>
      </c>
      <c r="F22" s="12">
        <f t="shared" si="2"/>
        <v>12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62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45891</v>
      </c>
      <c r="C23" s="39" t="s">
        <v>47</v>
      </c>
      <c r="D23" s="18">
        <v>0.95833333333333337</v>
      </c>
      <c r="E23" s="12">
        <v>58</v>
      </c>
      <c r="F23" s="12">
        <f t="shared" si="2"/>
        <v>8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58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45891</v>
      </c>
      <c r="C24" s="39" t="s">
        <v>47</v>
      </c>
      <c r="D24" s="18">
        <v>0.125</v>
      </c>
      <c r="E24" s="12">
        <v>60</v>
      </c>
      <c r="F24" s="12">
        <f t="shared" si="2"/>
        <v>10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45892</v>
      </c>
      <c r="C25" s="10" t="s">
        <v>48</v>
      </c>
      <c r="D25" s="18">
        <v>0.95833333333333337</v>
      </c>
      <c r="E25" s="12">
        <v>59</v>
      </c>
      <c r="F25" s="12">
        <f t="shared" si="2"/>
        <v>9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45892</v>
      </c>
      <c r="C26" s="10" t="s">
        <v>48</v>
      </c>
      <c r="D26" s="18">
        <v>0.125</v>
      </c>
      <c r="E26" s="12">
        <v>61</v>
      </c>
      <c r="F26" s="12">
        <f t="shared" si="2"/>
        <v>11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61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45893</v>
      </c>
      <c r="C27" s="39" t="s">
        <v>42</v>
      </c>
      <c r="D27" s="18">
        <v>0.95833333333333337</v>
      </c>
      <c r="E27" s="12">
        <v>60</v>
      </c>
      <c r="F27" s="12">
        <f t="shared" si="2"/>
        <v>10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60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45893</v>
      </c>
      <c r="C28" s="39" t="s">
        <v>42</v>
      </c>
      <c r="D28" s="18">
        <v>0.125</v>
      </c>
      <c r="E28" s="12">
        <v>62</v>
      </c>
      <c r="F28" s="12">
        <f t="shared" si="2"/>
        <v>12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62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45894</v>
      </c>
      <c r="C29" s="39" t="s">
        <v>43</v>
      </c>
      <c r="D29" s="18">
        <v>0.95833333333333337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45894</v>
      </c>
      <c r="C30" s="39" t="s">
        <v>43</v>
      </c>
      <c r="D30" s="18">
        <v>0.125</v>
      </c>
      <c r="E30" s="12">
        <v>59</v>
      </c>
      <c r="F30" s="12">
        <f t="shared" si="2"/>
        <v>9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45895</v>
      </c>
      <c r="C31" s="39" t="s">
        <v>44</v>
      </c>
      <c r="D31" s="18">
        <v>0.95833333333333337</v>
      </c>
      <c r="E31" s="12">
        <v>61</v>
      </c>
      <c r="F31" s="12">
        <f t="shared" si="2"/>
        <v>11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61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45895</v>
      </c>
      <c r="C32" s="39" t="s">
        <v>44</v>
      </c>
      <c r="D32" s="18">
        <v>0.125</v>
      </c>
      <c r="E32" s="12">
        <v>63</v>
      </c>
      <c r="F32" s="12">
        <f t="shared" si="2"/>
        <v>13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63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45896</v>
      </c>
      <c r="C33" s="39" t="s">
        <v>45</v>
      </c>
      <c r="D33" s="18">
        <v>0.95833333333333337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45896</v>
      </c>
      <c r="C34" s="39" t="s">
        <v>45</v>
      </c>
      <c r="D34" s="18">
        <v>0.125</v>
      </c>
      <c r="E34" s="12">
        <v>59</v>
      </c>
      <c r="F34" s="12">
        <f t="shared" si="2"/>
        <v>9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45897</v>
      </c>
      <c r="C35" s="39" t="s">
        <v>46</v>
      </c>
      <c r="D35" s="38" t="s">
        <v>41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45897</v>
      </c>
      <c r="C36" s="39" t="s">
        <v>46</v>
      </c>
      <c r="D36" s="18">
        <v>0.125</v>
      </c>
      <c r="E36" s="12">
        <v>59</v>
      </c>
      <c r="F36" s="12">
        <f t="shared" si="2"/>
        <v>9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45898</v>
      </c>
      <c r="C37" s="39" t="s">
        <v>47</v>
      </c>
      <c r="D37" s="18">
        <v>0.95833333333333337</v>
      </c>
      <c r="E37" s="12">
        <v>60</v>
      </c>
      <c r="F37" s="12">
        <f t="shared" si="2"/>
        <v>10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60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45898</v>
      </c>
      <c r="C38" s="39" t="s">
        <v>47</v>
      </c>
      <c r="D38" s="18">
        <v>0.125</v>
      </c>
      <c r="E38" s="12">
        <v>62</v>
      </c>
      <c r="F38" s="12">
        <f t="shared" si="2"/>
        <v>12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62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45899</v>
      </c>
      <c r="C39" s="39" t="s">
        <v>48</v>
      </c>
      <c r="D39" s="18">
        <v>0.95833333333333337</v>
      </c>
      <c r="E39" s="12">
        <v>58</v>
      </c>
      <c r="F39" s="12">
        <f t="shared" ref="F39:F42" si="3">E39-$B$6</f>
        <v>8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58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45899</v>
      </c>
      <c r="C40" s="39" t="s">
        <v>48</v>
      </c>
      <c r="D40" s="18">
        <v>0.125</v>
      </c>
      <c r="E40" s="12">
        <v>59</v>
      </c>
      <c r="F40" s="12">
        <f t="shared" si="3"/>
        <v>9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59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45900</v>
      </c>
      <c r="C41" s="39" t="s">
        <v>42</v>
      </c>
      <c r="D41" s="18">
        <v>0.95833333333333337</v>
      </c>
      <c r="E41" s="12">
        <v>59</v>
      </c>
      <c r="F41" s="12">
        <f t="shared" si="3"/>
        <v>9</v>
      </c>
      <c r="G41" s="17" t="s">
        <v>6</v>
      </c>
      <c r="H41" s="13" t="s">
        <v>14</v>
      </c>
      <c r="J41" s="5">
        <f t="shared" si="0"/>
        <v>31</v>
      </c>
      <c r="K41" s="7">
        <v>50</v>
      </c>
      <c r="L41" s="7">
        <f t="shared" si="4"/>
        <v>59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45900</v>
      </c>
      <c r="C42" s="39" t="s">
        <v>42</v>
      </c>
      <c r="D42" s="18">
        <v>0.125</v>
      </c>
      <c r="E42" s="12">
        <v>62</v>
      </c>
      <c r="F42" s="12">
        <f t="shared" si="3"/>
        <v>12</v>
      </c>
      <c r="G42" s="17" t="s">
        <v>6</v>
      </c>
      <c r="H42" s="13" t="s">
        <v>14</v>
      </c>
      <c r="J42" s="5">
        <f t="shared" si="0"/>
        <v>32</v>
      </c>
      <c r="K42" s="7">
        <v>50</v>
      </c>
      <c r="L42" s="7">
        <f>E42</f>
        <v>62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1"/>
      <c r="B43" s="10"/>
      <c r="C43" s="39"/>
      <c r="D43" s="18"/>
      <c r="E43" s="12"/>
      <c r="F43" s="12"/>
      <c r="G43" s="17"/>
      <c r="H43" s="13"/>
      <c r="K43" s="7"/>
      <c r="L43" s="7"/>
      <c r="M43" s="7"/>
      <c r="N43" s="7"/>
      <c r="O43" s="7"/>
      <c r="P43" s="7"/>
    </row>
    <row r="44" spans="1:16" ht="20.149999999999999" customHeight="1" x14ac:dyDescent="0.45">
      <c r="A44" s="10" t="s">
        <v>32</v>
      </c>
      <c r="B44" s="16">
        <f>AVERAGE(E11:E42)</f>
        <v>59.53125</v>
      </c>
      <c r="C44" s="10" t="s">
        <v>51</v>
      </c>
      <c r="D44" s="12">
        <v>63</v>
      </c>
      <c r="E44" s="12" t="s">
        <v>33</v>
      </c>
      <c r="F44" s="12">
        <v>57</v>
      </c>
      <c r="G44" s="17" t="s">
        <v>6</v>
      </c>
      <c r="H44" s="13" t="s">
        <v>14</v>
      </c>
      <c r="K44" s="7"/>
      <c r="L44" s="7"/>
      <c r="M44" s="7"/>
      <c r="N44" s="7"/>
      <c r="O44" s="7"/>
      <c r="P44" s="7"/>
    </row>
    <row r="45" spans="1:16" ht="35" customHeight="1" x14ac:dyDescent="0.45">
      <c r="C45" s="10"/>
    </row>
    <row r="46" spans="1:16" ht="20.149999999999999" customHeight="1" x14ac:dyDescent="0.45">
      <c r="C46" s="39"/>
    </row>
    <row r="47" spans="1:16" ht="13" customHeight="1" x14ac:dyDescent="0.45">
      <c r="A47" s="24" t="s">
        <v>7</v>
      </c>
      <c r="B47" s="14"/>
      <c r="C47" s="39"/>
      <c r="D47" s="15"/>
      <c r="E47" s="15"/>
      <c r="F47" s="15"/>
      <c r="G47" s="15"/>
      <c r="H47" s="15"/>
    </row>
    <row r="48" spans="1:16" ht="45.5" customHeight="1" x14ac:dyDescent="0.45">
      <c r="A48" s="14"/>
      <c r="B48" s="14"/>
      <c r="C48" s="14"/>
      <c r="D48" s="14" t="s">
        <v>0</v>
      </c>
      <c r="E48" s="14"/>
      <c r="F48" s="14"/>
      <c r="G48" s="14" t="s">
        <v>1</v>
      </c>
      <c r="H48" s="14" t="s">
        <v>2</v>
      </c>
    </row>
    <row r="49" spans="1:8" x14ac:dyDescent="0.45">
      <c r="A49" s="14"/>
      <c r="C49" s="14"/>
      <c r="D49" s="14"/>
      <c r="E49" s="14"/>
      <c r="F49" s="14"/>
      <c r="G49" s="14"/>
      <c r="H49" s="14"/>
    </row>
    <row r="50" spans="1:8" ht="15" customHeight="1" x14ac:dyDescent="0.45">
      <c r="A50" s="8" t="s">
        <v>13</v>
      </c>
      <c r="F50" s="9"/>
    </row>
    <row r="51" spans="1:8" ht="31.5" customHeight="1" x14ac:dyDescent="0.45">
      <c r="D51" s="25" t="s">
        <v>0</v>
      </c>
      <c r="E51" s="25"/>
      <c r="F51" s="14"/>
      <c r="G51" s="25" t="s">
        <v>1</v>
      </c>
      <c r="H51" s="25" t="s">
        <v>2</v>
      </c>
    </row>
    <row r="52" spans="1:8" ht="40" customHeight="1" x14ac:dyDescent="0.45"/>
    <row r="53" spans="1:8" ht="39.5" customHeight="1" x14ac:dyDescent="0.45">
      <c r="B53" s="19"/>
    </row>
    <row r="54" spans="1:8" ht="44.5" customHeight="1" x14ac:dyDescent="0.45">
      <c r="A54"/>
      <c r="C54"/>
      <c r="D54"/>
      <c r="E54"/>
      <c r="F54"/>
      <c r="G54"/>
      <c r="H54"/>
    </row>
    <row r="55" spans="1:8" x14ac:dyDescent="0.45">
      <c r="A55" s="20"/>
      <c r="C55" s="19"/>
      <c r="D55" s="21"/>
      <c r="E55" s="19"/>
      <c r="F55" s="21"/>
      <c r="G55" s="22"/>
      <c r="H55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  <row r="58" spans="1:8" customFormat="1" x14ac:dyDescent="0.45">
      <c r="A58" s="5"/>
      <c r="B58" s="5"/>
      <c r="C58" s="5"/>
      <c r="D58" s="5"/>
      <c r="E58" s="5"/>
      <c r="F58" s="5"/>
      <c r="G58" s="5"/>
      <c r="H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29749999999999999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2026-06-18T06:34:43Z</cp:lastPrinted>
  <dcterms:created xsi:type="dcterms:W3CDTF">2019-12-19T05:48:48Z</dcterms:created>
  <dcterms:modified xsi:type="dcterms:W3CDTF">2026-06-18T06:34:51Z</dcterms:modified>
</cp:coreProperties>
</file>