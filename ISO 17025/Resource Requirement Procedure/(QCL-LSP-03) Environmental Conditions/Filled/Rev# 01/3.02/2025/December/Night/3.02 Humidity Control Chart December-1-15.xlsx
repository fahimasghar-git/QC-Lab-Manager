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5\December\Night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MainHall!$A$1:$H$50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2" i="4" l="1"/>
  <c r="L41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F38" i="4"/>
  <c r="L38" i="4"/>
  <c r="F37" i="4"/>
  <c r="L37" i="4"/>
  <c r="F24" i="4"/>
  <c r="L24" i="4"/>
  <c r="F23" i="4"/>
  <c r="L23" i="4"/>
  <c r="F11" i="4" l="1"/>
  <c r="B43" i="4" l="1"/>
  <c r="L39" i="4" l="1"/>
  <c r="L40" i="4"/>
  <c r="F39" i="4" l="1"/>
  <c r="F40" i="4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<sst xmlns="http://schemas.openxmlformats.org/spreadsheetml/2006/main" count="138" uniqueCount="51">
  <si>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</si>
  <si>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</si>
  <si>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</si>
  <si>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</si>
  <si>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</si>
  <si>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</si>
  <si>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</si>
  <si>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</si>
  <si>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</si>
  <si>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</si>
  <si>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</si>
  <si>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</si>
  <si>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</si>
  <si>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</si>
  <si>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</si>
  <si>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</si>
  <si>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</si>
  <si>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</si>
  <si>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</si>
  <si>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</si>
  <si>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</si>
  <si>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</si>
  <si>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</si>
  <si>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</si>
  <si>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</si>
  <si>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</si>
  <si>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</si>
  <si>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</si>
  <si>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</si>
  <si>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</si>
  <si>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</si>
  <si>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</si>
  <si>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</si>
  <si>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</si>
  <si>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Maximum Temp.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</si>
  <si>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</si>
  <si>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</si>
  <si>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</si>
  <si>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</si>
  <si>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</si>
  <si>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</si>
  <si>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</si>
  <si>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>Sunday</t>
  </si>
  <si>
    <t>Monday</t>
  </si>
  <si>
    <t>Tuesday</t>
  </si>
  <si>
    <t>Wednesday</t>
  </si>
  <si>
    <t>Thursday</t>
  </si>
  <si>
    <t>Friday</t>
  </si>
  <si>
    <t>Saturday</t>
  </si>
  <si>
    <t>VAN/QC/EQP-001</t>
  </si>
  <si>
    <t>December-2025 (First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</si>
</sst>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56</c:v>
                </c:pt>
                <c:pt idx="1">
                  <c:v>59</c:v>
                </c:pt>
                <c:pt idx="2">
                  <c:v>54</c:v>
                </c:pt>
                <c:pt idx="3">
                  <c:v>57</c:v>
                </c:pt>
                <c:pt idx="4">
                  <c:v>55</c:v>
                </c:pt>
                <c:pt idx="5">
                  <c:v>59</c:v>
                </c:pt>
                <c:pt idx="6">
                  <c:v>52</c:v>
                </c:pt>
                <c:pt idx="7">
                  <c:v>60</c:v>
                </c:pt>
                <c:pt idx="8">
                  <c:v>55</c:v>
                </c:pt>
                <c:pt idx="9">
                  <c:v>50</c:v>
                </c:pt>
                <c:pt idx="10">
                  <c:v>47</c:v>
                </c:pt>
                <c:pt idx="11">
                  <c:v>52</c:v>
                </c:pt>
                <c:pt idx="12">
                  <c:v>45</c:v>
                </c:pt>
                <c:pt idx="13">
                  <c:v>53</c:v>
                </c:pt>
                <c:pt idx="14">
                  <c:v>60</c:v>
                </c:pt>
                <c:pt idx="15">
                  <c:v>47</c:v>
                </c:pt>
                <c:pt idx="16">
                  <c:v>57</c:v>
                </c:pt>
                <c:pt idx="17">
                  <c:v>48</c:v>
                </c:pt>
                <c:pt idx="18">
                  <c:v>60</c:v>
                </c:pt>
                <c:pt idx="19">
                  <c:v>45</c:v>
                </c:pt>
                <c:pt idx="20">
                  <c:v>57</c:v>
                </c:pt>
                <c:pt idx="21">
                  <c:v>42</c:v>
                </c:pt>
                <c:pt idx="22">
                  <c:v>59</c:v>
                </c:pt>
                <c:pt idx="23">
                  <c:v>43</c:v>
                </c:pt>
                <c:pt idx="24">
                  <c:v>58</c:v>
                </c:pt>
                <c:pt idx="25">
                  <c:v>47</c:v>
                </c:pt>
                <c:pt idx="26">
                  <c:v>57</c:v>
                </c:pt>
                <c:pt idx="27">
                  <c:v>45</c:v>
                </c:pt>
                <c:pt idx="28">
                  <c:v>50</c:v>
                </c:pt>
                <c:pt idx="29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7"/>
  <sheetViews>
    <sheetView tabSelected="1" view="pageLayout" topLeftCell="A40" zoomScaleNormal="100" zoomScaleSheetLayoutView="100" workbookViewId="0">
      <selection activeCell="A44" sqref="A44:H46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38"/>
      <c r="B1" s="39"/>
      <c r="C1" s="50" t="s">
        <v>3</v>
      </c>
      <c r="D1" s="50"/>
      <c r="E1" s="50"/>
      <c r="F1" s="50"/>
      <c r="G1" s="31" t="s">
        <v>38</v>
      </c>
      <c r="H1" s="32" t="s">
        <v>40</v>
      </c>
    </row>
    <row r="2" spans="1:16" customFormat="1" ht="14" customHeight="1" x14ac:dyDescent="0.35">
      <c r="A2" s="40"/>
      <c r="B2" s="41"/>
      <c r="C2" s="51"/>
      <c r="D2" s="51"/>
      <c r="E2" s="51"/>
      <c r="F2" s="51"/>
      <c r="G2" s="31" t="s">
        <v>39</v>
      </c>
      <c r="H2" s="33">
        <v>45301</v>
      </c>
    </row>
    <row r="3" spans="1:16" ht="14" customHeight="1" x14ac:dyDescent="0.45">
      <c r="A3" s="42"/>
      <c r="B3" s="43"/>
      <c r="C3" s="27"/>
      <c r="D3" s="28"/>
      <c r="E3" s="28"/>
      <c r="F3" s="28"/>
      <c r="G3" s="31" t="s">
        <v>41</v>
      </c>
      <c r="H3" s="34">
        <v>1</v>
      </c>
    </row>
    <row r="4" spans="1:16" ht="14" customHeight="1" x14ac:dyDescent="0.45">
      <c r="A4" s="35" t="s">
        <v>4</v>
      </c>
      <c r="B4" s="35" t="s">
        <v>35</v>
      </c>
      <c r="C4" s="26"/>
      <c r="D4" s="26"/>
      <c r="E4" s="46" t="s">
        <v>17</v>
      </c>
      <c r="F4" s="47"/>
      <c r="G4" s="44" t="s">
        <v>50</v>
      </c>
      <c r="H4" s="45"/>
    </row>
    <row r="5" spans="1:16" ht="12.5" customHeight="1" x14ac:dyDescent="0.45">
      <c r="A5" s="35" t="s">
        <v>15</v>
      </c>
      <c r="B5" s="35" t="s">
        <v>36</v>
      </c>
      <c r="C5" s="26"/>
      <c r="D5" s="26"/>
      <c r="E5" s="46" t="s">
        <v>16</v>
      </c>
      <c r="F5" s="47"/>
      <c r="G5" s="46" t="s">
        <v>37</v>
      </c>
      <c r="H5" s="47"/>
    </row>
    <row r="6" spans="1:16" ht="14" customHeight="1" x14ac:dyDescent="0.45">
      <c r="A6" s="35" t="s">
        <v>23</v>
      </c>
      <c r="B6" s="35">
        <v>50</v>
      </c>
      <c r="C6" s="26"/>
      <c r="D6" s="26"/>
      <c r="E6" s="46" t="s">
        <v>18</v>
      </c>
      <c r="F6" s="47"/>
      <c r="G6" s="48" t="s">
        <v>49</v>
      </c>
      <c r="H6" s="49"/>
    </row>
    <row r="7" spans="1:16" ht="14.5" customHeight="1" x14ac:dyDescent="0.45">
      <c r="A7" s="35" t="s">
        <v>24</v>
      </c>
      <c r="B7" s="35">
        <v>35</v>
      </c>
      <c r="C7" s="29"/>
      <c r="D7" s="30"/>
      <c r="E7" s="52" t="s">
        <v>26</v>
      </c>
      <c r="F7" s="53"/>
      <c r="G7" s="48">
        <v>65</v>
      </c>
      <c r="H7" s="49"/>
    </row>
    <row r="8" spans="1:16" ht="14.5" customHeight="1" x14ac:dyDescent="0.45">
      <c r="A8" s="35" t="s">
        <v>25</v>
      </c>
      <c r="B8" s="35">
        <v>30</v>
      </c>
      <c r="C8" s="36"/>
      <c r="D8" s="37"/>
      <c r="E8" s="52" t="s">
        <v>27</v>
      </c>
      <c r="F8" s="53"/>
      <c r="G8" s="48">
        <v>70</v>
      </c>
      <c r="H8" s="49"/>
    </row>
    <row r="9" spans="1:16" ht="339.75" customHeight="1" x14ac:dyDescent="0.45">
      <c r="D9" s="6"/>
      <c r="F9" s="6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1">
        <v>1</v>
      </c>
      <c r="B11" s="10">
        <v>45992</v>
      </c>
      <c r="C11" s="10" t="s">
        <v>43</v>
      </c>
      <c r="D11" s="18">
        <v>0.95833333333333337</v>
      </c>
      <c r="E11" s="12">
        <v>56</v>
      </c>
      <c r="F11" s="12">
        <f>E11-$B$6</f>
        <v>6</v>
      </c>
      <c r="G11" s="17" t="s">
        <v>6</v>
      </c>
      <c r="H11" s="13" t="s">
        <v>14</v>
      </c>
      <c r="J11" s="5">
        <f t="shared" ref="J11:J42" si="0">A11</f>
        <v>1</v>
      </c>
      <c r="K11" s="7">
        <v>50</v>
      </c>
      <c r="L11" s="7">
        <f t="shared" ref="L11:L38" si="1">E11</f>
        <v>56</v>
      </c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45992</v>
      </c>
      <c r="C12" s="10" t="s">
        <v>43</v>
      </c>
      <c r="D12" s="18">
        <v>0.125</v>
      </c>
      <c r="E12" s="12">
        <v>59</v>
      </c>
      <c r="F12" s="12">
        <f t="shared" ref="F12:F38" si="2">E12-$B$6</f>
        <v>9</v>
      </c>
      <c r="G12" s="17" t="s">
        <v>6</v>
      </c>
      <c r="H12" s="13" t="s">
        <v>14</v>
      </c>
      <c r="J12" s="5">
        <f t="shared" si="0"/>
        <v>2</v>
      </c>
      <c r="K12" s="7">
        <v>50</v>
      </c>
      <c r="L12" s="7">
        <f t="shared" si="1"/>
        <v>59</v>
      </c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45993</v>
      </c>
      <c r="C13" s="10" t="s">
        <v>44</v>
      </c>
      <c r="D13" s="18">
        <v>0.95833333333333337</v>
      </c>
      <c r="E13" s="12">
        <v>54</v>
      </c>
      <c r="F13" s="12">
        <f t="shared" si="2"/>
        <v>4</v>
      </c>
      <c r="G13" s="17" t="s">
        <v>6</v>
      </c>
      <c r="H13" s="13" t="s">
        <v>14</v>
      </c>
      <c r="J13" s="5">
        <f t="shared" si="0"/>
        <v>3</v>
      </c>
      <c r="K13" s="7">
        <v>50</v>
      </c>
      <c r="L13" s="7">
        <f t="shared" si="1"/>
        <v>54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45993</v>
      </c>
      <c r="C14" s="10" t="s">
        <v>44</v>
      </c>
      <c r="D14" s="18">
        <v>0.125</v>
      </c>
      <c r="E14" s="12">
        <v>57</v>
      </c>
      <c r="F14" s="12">
        <f t="shared" si="2"/>
        <v>7</v>
      </c>
      <c r="G14" s="17" t="s">
        <v>6</v>
      </c>
      <c r="H14" s="13" t="s">
        <v>14</v>
      </c>
      <c r="J14" s="5">
        <f t="shared" si="0"/>
        <v>4</v>
      </c>
      <c r="K14" s="7">
        <v>50</v>
      </c>
      <c r="L14" s="7">
        <f t="shared" si="1"/>
        <v>57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45994</v>
      </c>
      <c r="C15" s="10" t="s">
        <v>45</v>
      </c>
      <c r="D15" s="18">
        <v>0.95833333333333337</v>
      </c>
      <c r="E15" s="12">
        <v>55</v>
      </c>
      <c r="F15" s="12">
        <f t="shared" si="2"/>
        <v>5</v>
      </c>
      <c r="G15" s="17" t="s">
        <v>6</v>
      </c>
      <c r="H15" s="13" t="s">
        <v>14</v>
      </c>
      <c r="J15" s="5">
        <f t="shared" si="0"/>
        <v>5</v>
      </c>
      <c r="K15" s="7">
        <v>50</v>
      </c>
      <c r="L15" s="7">
        <f t="shared" si="1"/>
        <v>55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45994</v>
      </c>
      <c r="C16" s="10" t="s">
        <v>45</v>
      </c>
      <c r="D16" s="18">
        <v>0.125</v>
      </c>
      <c r="E16" s="12">
        <v>59</v>
      </c>
      <c r="F16" s="12">
        <f t="shared" si="2"/>
        <v>9</v>
      </c>
      <c r="G16" s="17" t="s">
        <v>6</v>
      </c>
      <c r="H16" s="13" t="s">
        <v>14</v>
      </c>
      <c r="J16" s="5">
        <f t="shared" si="0"/>
        <v>6</v>
      </c>
      <c r="K16" s="7">
        <v>50</v>
      </c>
      <c r="L16" s="7">
        <f t="shared" si="1"/>
        <v>59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45995</v>
      </c>
      <c r="C17" s="10" t="s">
        <v>46</v>
      </c>
      <c r="D17" s="18">
        <v>0.95833333333333337</v>
      </c>
      <c r="E17" s="12">
        <v>52</v>
      </c>
      <c r="F17" s="12">
        <f t="shared" si="2"/>
        <v>2</v>
      </c>
      <c r="G17" s="17" t="s">
        <v>6</v>
      </c>
      <c r="H17" s="13" t="s">
        <v>14</v>
      </c>
      <c r="J17" s="5">
        <f t="shared" si="0"/>
        <v>7</v>
      </c>
      <c r="K17" s="7">
        <v>50</v>
      </c>
      <c r="L17" s="7">
        <f t="shared" si="1"/>
        <v>52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45995</v>
      </c>
      <c r="C18" s="10" t="s">
        <v>46</v>
      </c>
      <c r="D18" s="18">
        <v>0.125</v>
      </c>
      <c r="E18" s="12">
        <v>60</v>
      </c>
      <c r="F18" s="12">
        <f t="shared" si="2"/>
        <v>10</v>
      </c>
      <c r="G18" s="17" t="s">
        <v>6</v>
      </c>
      <c r="H18" s="13" t="s">
        <v>14</v>
      </c>
      <c r="J18" s="5">
        <f t="shared" si="0"/>
        <v>8</v>
      </c>
      <c r="K18" s="7">
        <v>50</v>
      </c>
      <c r="L18" s="7">
        <f t="shared" si="1"/>
        <v>60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45996</v>
      </c>
      <c r="C19" s="10" t="s">
        <v>47</v>
      </c>
      <c r="D19" s="18">
        <v>0.95833333333333337</v>
      </c>
      <c r="E19" s="12">
        <v>55</v>
      </c>
      <c r="F19" s="12">
        <f t="shared" si="2"/>
        <v>5</v>
      </c>
      <c r="G19" s="17" t="s">
        <v>6</v>
      </c>
      <c r="H19" s="13" t="s">
        <v>14</v>
      </c>
      <c r="J19" s="5">
        <f t="shared" si="0"/>
        <v>9</v>
      </c>
      <c r="K19" s="7">
        <v>50</v>
      </c>
      <c r="L19" s="7">
        <f t="shared" si="1"/>
        <v>55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45996</v>
      </c>
      <c r="C20" s="10" t="s">
        <v>47</v>
      </c>
      <c r="D20" s="18">
        <v>0.125</v>
      </c>
      <c r="E20" s="12">
        <v>50</v>
      </c>
      <c r="F20" s="12">
        <f t="shared" si="2"/>
        <v>0</v>
      </c>
      <c r="G20" s="17" t="s">
        <v>6</v>
      </c>
      <c r="H20" s="13" t="s">
        <v>14</v>
      </c>
      <c r="J20" s="5">
        <f t="shared" si="0"/>
        <v>10</v>
      </c>
      <c r="K20" s="7">
        <v>50</v>
      </c>
      <c r="L20" s="7">
        <f t="shared" si="1"/>
        <v>50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11</v>
      </c>
      <c r="B21" s="10">
        <v>45997</v>
      </c>
      <c r="C21" s="10" t="s">
        <v>48</v>
      </c>
      <c r="D21" s="18">
        <v>0.95833333333333337</v>
      </c>
      <c r="E21" s="12">
        <v>47</v>
      </c>
      <c r="F21" s="12">
        <f t="shared" si="2"/>
        <v>-3</v>
      </c>
      <c r="G21" s="17" t="s">
        <v>6</v>
      </c>
      <c r="H21" s="13" t="s">
        <v>14</v>
      </c>
      <c r="J21" s="5">
        <f t="shared" si="0"/>
        <v>11</v>
      </c>
      <c r="K21" s="7">
        <v>50</v>
      </c>
      <c r="L21" s="7">
        <f t="shared" si="1"/>
        <v>47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12</v>
      </c>
      <c r="B22" s="10">
        <v>45997</v>
      </c>
      <c r="C22" s="10" t="s">
        <v>48</v>
      </c>
      <c r="D22" s="18">
        <v>0.125</v>
      </c>
      <c r="E22" s="12">
        <v>52</v>
      </c>
      <c r="F22" s="12">
        <f t="shared" si="2"/>
        <v>2</v>
      </c>
      <c r="G22" s="17" t="s">
        <v>6</v>
      </c>
      <c r="H22" s="13" t="s">
        <v>14</v>
      </c>
      <c r="J22" s="5">
        <f t="shared" si="0"/>
        <v>12</v>
      </c>
      <c r="K22" s="7">
        <v>50</v>
      </c>
      <c r="L22" s="7">
        <f t="shared" si="1"/>
        <v>52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45998</v>
      </c>
      <c r="C23" s="10" t="s">
        <v>42</v>
      </c>
      <c r="D23" s="18">
        <v>0.95833333333333337</v>
      </c>
      <c r="E23" s="12">
        <v>45</v>
      </c>
      <c r="F23" s="12">
        <f t="shared" si="2"/>
        <v>-5</v>
      </c>
      <c r="G23" s="17" t="s">
        <v>6</v>
      </c>
      <c r="H23" s="13" t="s">
        <v>14</v>
      </c>
      <c r="J23" s="5">
        <f t="shared" si="0"/>
        <v>13</v>
      </c>
      <c r="K23" s="7">
        <v>50</v>
      </c>
      <c r="L23" s="7">
        <f t="shared" si="1"/>
        <v>45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45998</v>
      </c>
      <c r="C24" s="10" t="s">
        <v>42</v>
      </c>
      <c r="D24" s="18">
        <v>0.125</v>
      </c>
      <c r="E24" s="12">
        <v>53</v>
      </c>
      <c r="F24" s="12">
        <f t="shared" si="2"/>
        <v>3</v>
      </c>
      <c r="G24" s="17" t="s">
        <v>6</v>
      </c>
      <c r="H24" s="13" t="s">
        <v>14</v>
      </c>
      <c r="J24" s="5">
        <f t="shared" si="0"/>
        <v>14</v>
      </c>
      <c r="K24" s="7">
        <v>50</v>
      </c>
      <c r="L24" s="7">
        <f t="shared" si="1"/>
        <v>53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45999</v>
      </c>
      <c r="C25" s="10" t="s">
        <v>43</v>
      </c>
      <c r="D25" s="18">
        <v>0.95833333333333337</v>
      </c>
      <c r="E25" s="12">
        <v>60</v>
      </c>
      <c r="F25" s="12">
        <f t="shared" si="2"/>
        <v>10</v>
      </c>
      <c r="G25" s="17" t="s">
        <v>6</v>
      </c>
      <c r="H25" s="13" t="s">
        <v>14</v>
      </c>
      <c r="J25" s="5">
        <f t="shared" si="0"/>
        <v>15</v>
      </c>
      <c r="K25" s="7">
        <v>50</v>
      </c>
      <c r="L25" s="7">
        <f t="shared" si="1"/>
        <v>60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45999</v>
      </c>
      <c r="C26" s="10" t="s">
        <v>43</v>
      </c>
      <c r="D26" s="18">
        <v>0.125</v>
      </c>
      <c r="E26" s="12">
        <v>47</v>
      </c>
      <c r="F26" s="12">
        <f t="shared" si="2"/>
        <v>-3</v>
      </c>
      <c r="G26" s="17" t="s">
        <v>6</v>
      </c>
      <c r="H26" s="13" t="s">
        <v>14</v>
      </c>
      <c r="J26" s="5">
        <f t="shared" si="0"/>
        <v>16</v>
      </c>
      <c r="K26" s="7">
        <v>50</v>
      </c>
      <c r="L26" s="7">
        <f t="shared" si="1"/>
        <v>47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46000</v>
      </c>
      <c r="C27" s="10" t="s">
        <v>44</v>
      </c>
      <c r="D27" s="18">
        <v>0.95833333333333337</v>
      </c>
      <c r="E27" s="12">
        <v>57</v>
      </c>
      <c r="F27" s="12">
        <f t="shared" si="2"/>
        <v>7</v>
      </c>
      <c r="G27" s="17" t="s">
        <v>6</v>
      </c>
      <c r="H27" s="13" t="s">
        <v>14</v>
      </c>
      <c r="J27" s="5">
        <f t="shared" si="0"/>
        <v>17</v>
      </c>
      <c r="K27" s="7">
        <v>50</v>
      </c>
      <c r="L27" s="7">
        <f t="shared" si="1"/>
        <v>57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46000</v>
      </c>
      <c r="C28" s="10" t="s">
        <v>44</v>
      </c>
      <c r="D28" s="18">
        <v>0.125</v>
      </c>
      <c r="E28" s="12">
        <v>48</v>
      </c>
      <c r="F28" s="12">
        <f t="shared" si="2"/>
        <v>-2</v>
      </c>
      <c r="G28" s="17" t="s">
        <v>6</v>
      </c>
      <c r="H28" s="13" t="s">
        <v>14</v>
      </c>
      <c r="J28" s="5">
        <f t="shared" si="0"/>
        <v>18</v>
      </c>
      <c r="K28" s="7">
        <v>50</v>
      </c>
      <c r="L28" s="7">
        <f t="shared" si="1"/>
        <v>48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46001</v>
      </c>
      <c r="C29" s="10" t="s">
        <v>45</v>
      </c>
      <c r="D29" s="18">
        <v>0.95833333333333337</v>
      </c>
      <c r="E29" s="12">
        <v>60</v>
      </c>
      <c r="F29" s="12">
        <f t="shared" si="2"/>
        <v>10</v>
      </c>
      <c r="G29" s="17" t="s">
        <v>6</v>
      </c>
      <c r="H29" s="13" t="s">
        <v>14</v>
      </c>
      <c r="J29" s="5">
        <f t="shared" si="0"/>
        <v>19</v>
      </c>
      <c r="K29" s="7">
        <v>50</v>
      </c>
      <c r="L29" s="7">
        <f t="shared" si="1"/>
        <v>60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46001</v>
      </c>
      <c r="C30" s="10" t="s">
        <v>45</v>
      </c>
      <c r="D30" s="18">
        <v>0.125</v>
      </c>
      <c r="E30" s="12">
        <v>45</v>
      </c>
      <c r="F30" s="12">
        <f t="shared" si="2"/>
        <v>-5</v>
      </c>
      <c r="G30" s="17" t="s">
        <v>6</v>
      </c>
      <c r="H30" s="13" t="s">
        <v>14</v>
      </c>
      <c r="J30" s="5">
        <f t="shared" si="0"/>
        <v>20</v>
      </c>
      <c r="K30" s="7">
        <v>50</v>
      </c>
      <c r="L30" s="7">
        <f t="shared" si="1"/>
        <v>45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>
        <v>21</v>
      </c>
      <c r="B31" s="10">
        <v>46002</v>
      </c>
      <c r="C31" s="10" t="s">
        <v>46</v>
      </c>
      <c r="D31" s="18">
        <v>0.95833333333333337</v>
      </c>
      <c r="E31" s="12">
        <v>57</v>
      </c>
      <c r="F31" s="12">
        <f t="shared" si="2"/>
        <v>7</v>
      </c>
      <c r="G31" s="17" t="s">
        <v>6</v>
      </c>
      <c r="H31" s="13" t="s">
        <v>14</v>
      </c>
      <c r="J31" s="5">
        <f t="shared" si="0"/>
        <v>21</v>
      </c>
      <c r="K31" s="7">
        <v>50</v>
      </c>
      <c r="L31" s="7">
        <f t="shared" si="1"/>
        <v>57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>
        <v>22</v>
      </c>
      <c r="B32" s="10">
        <v>46002</v>
      </c>
      <c r="C32" s="10" t="s">
        <v>46</v>
      </c>
      <c r="D32" s="18">
        <v>0.125</v>
      </c>
      <c r="E32" s="12">
        <v>42</v>
      </c>
      <c r="F32" s="12">
        <f t="shared" si="2"/>
        <v>-8</v>
      </c>
      <c r="G32" s="17" t="s">
        <v>6</v>
      </c>
      <c r="H32" s="13" t="s">
        <v>14</v>
      </c>
      <c r="J32" s="5">
        <f t="shared" si="0"/>
        <v>22</v>
      </c>
      <c r="K32" s="7">
        <v>50</v>
      </c>
      <c r="L32" s="7">
        <f t="shared" si="1"/>
        <v>42</v>
      </c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1">
        <v>23</v>
      </c>
      <c r="B33" s="10">
        <v>46003</v>
      </c>
      <c r="C33" s="10" t="s">
        <v>47</v>
      </c>
      <c r="D33" s="18">
        <v>0.95833333333333337</v>
      </c>
      <c r="E33" s="12">
        <v>59</v>
      </c>
      <c r="F33" s="12">
        <f t="shared" si="2"/>
        <v>9</v>
      </c>
      <c r="G33" s="17" t="s">
        <v>6</v>
      </c>
      <c r="H33" s="13" t="s">
        <v>14</v>
      </c>
      <c r="J33" s="5">
        <f t="shared" si="0"/>
        <v>23</v>
      </c>
      <c r="K33" s="7">
        <v>50</v>
      </c>
      <c r="L33" s="7">
        <f t="shared" si="1"/>
        <v>59</v>
      </c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A34" s="11">
        <v>24</v>
      </c>
      <c r="B34" s="10">
        <v>46003</v>
      </c>
      <c r="C34" s="10" t="s">
        <v>47</v>
      </c>
      <c r="D34" s="18">
        <v>0.125</v>
      </c>
      <c r="E34" s="12">
        <v>43</v>
      </c>
      <c r="F34" s="12">
        <f t="shared" si="2"/>
        <v>-7</v>
      </c>
      <c r="G34" s="17" t="s">
        <v>6</v>
      </c>
      <c r="H34" s="13" t="s">
        <v>14</v>
      </c>
      <c r="J34" s="5">
        <f t="shared" si="0"/>
        <v>24</v>
      </c>
      <c r="K34" s="7">
        <v>50</v>
      </c>
      <c r="L34" s="7">
        <f t="shared" si="1"/>
        <v>43</v>
      </c>
      <c r="M34" s="7">
        <v>35</v>
      </c>
      <c r="N34" s="7">
        <v>65</v>
      </c>
      <c r="O34" s="7">
        <v>30</v>
      </c>
      <c r="P34" s="7">
        <v>70</v>
      </c>
    </row>
    <row r="35" spans="1:16" ht="20.149999999999999" customHeight="1" x14ac:dyDescent="0.45">
      <c r="A35" s="11">
        <v>25</v>
      </c>
      <c r="B35" s="10">
        <v>46004</v>
      </c>
      <c r="C35" s="10" t="s">
        <v>48</v>
      </c>
      <c r="D35" s="18">
        <v>0.95833333333333337</v>
      </c>
      <c r="E35" s="12">
        <v>58</v>
      </c>
      <c r="F35" s="12">
        <f t="shared" si="2"/>
        <v>8</v>
      </c>
      <c r="G35" s="17" t="s">
        <v>6</v>
      </c>
      <c r="H35" s="13" t="s">
        <v>14</v>
      </c>
      <c r="J35" s="5">
        <f t="shared" si="0"/>
        <v>25</v>
      </c>
      <c r="K35" s="7">
        <v>50</v>
      </c>
      <c r="L35" s="7">
        <f t="shared" si="1"/>
        <v>58</v>
      </c>
      <c r="M35" s="7">
        <v>35</v>
      </c>
      <c r="N35" s="7">
        <v>65</v>
      </c>
      <c r="O35" s="7">
        <v>30</v>
      </c>
      <c r="P35" s="7">
        <v>70</v>
      </c>
    </row>
    <row r="36" spans="1:16" ht="20.149999999999999" customHeight="1" x14ac:dyDescent="0.45">
      <c r="A36" s="11">
        <v>26</v>
      </c>
      <c r="B36" s="10">
        <v>46004</v>
      </c>
      <c r="C36" s="10" t="s">
        <v>48</v>
      </c>
      <c r="D36" s="18">
        <v>0.125</v>
      </c>
      <c r="E36" s="12">
        <v>47</v>
      </c>
      <c r="F36" s="12">
        <f t="shared" si="2"/>
        <v>-3</v>
      </c>
      <c r="G36" s="17" t="s">
        <v>6</v>
      </c>
      <c r="H36" s="13" t="s">
        <v>14</v>
      </c>
      <c r="J36" s="5">
        <f t="shared" si="0"/>
        <v>26</v>
      </c>
      <c r="K36" s="7">
        <v>50</v>
      </c>
      <c r="L36" s="7">
        <f t="shared" si="1"/>
        <v>47</v>
      </c>
      <c r="M36" s="7">
        <v>35</v>
      </c>
      <c r="N36" s="7">
        <v>65</v>
      </c>
      <c r="O36" s="7">
        <v>30</v>
      </c>
      <c r="P36" s="7">
        <v>70</v>
      </c>
    </row>
    <row r="37" spans="1:16" ht="20.149999999999999" customHeight="1" x14ac:dyDescent="0.45">
      <c r="A37" s="11">
        <v>27</v>
      </c>
      <c r="B37" s="10">
        <v>46005</v>
      </c>
      <c r="C37" s="10" t="s">
        <v>42</v>
      </c>
      <c r="D37" s="18">
        <v>0.95833333333333337</v>
      </c>
      <c r="E37" s="12">
        <v>57</v>
      </c>
      <c r="F37" s="12">
        <f t="shared" si="2"/>
        <v>7</v>
      </c>
      <c r="G37" s="17" t="s">
        <v>6</v>
      </c>
      <c r="H37" s="13" t="s">
        <v>14</v>
      </c>
      <c r="J37" s="5">
        <f t="shared" si="0"/>
        <v>27</v>
      </c>
      <c r="K37" s="7">
        <v>50</v>
      </c>
      <c r="L37" s="7">
        <f t="shared" si="1"/>
        <v>57</v>
      </c>
      <c r="M37" s="7">
        <v>35</v>
      </c>
      <c r="N37" s="7">
        <v>65</v>
      </c>
      <c r="O37" s="7">
        <v>30</v>
      </c>
      <c r="P37" s="7">
        <v>70</v>
      </c>
    </row>
    <row r="38" spans="1:16" ht="20.149999999999999" customHeight="1" x14ac:dyDescent="0.45">
      <c r="A38" s="11">
        <v>28</v>
      </c>
      <c r="B38" s="10">
        <v>46005</v>
      </c>
      <c r="C38" s="10" t="s">
        <v>42</v>
      </c>
      <c r="D38" s="18">
        <v>0.125</v>
      </c>
      <c r="E38" s="12">
        <v>45</v>
      </c>
      <c r="F38" s="12">
        <f t="shared" si="2"/>
        <v>-5</v>
      </c>
      <c r="G38" s="17" t="s">
        <v>6</v>
      </c>
      <c r="H38" s="13" t="s">
        <v>14</v>
      </c>
      <c r="J38" s="5">
        <f t="shared" si="0"/>
        <v>28</v>
      </c>
      <c r="K38" s="7">
        <v>50</v>
      </c>
      <c r="L38" s="7">
        <f t="shared" si="1"/>
        <v>45</v>
      </c>
      <c r="M38" s="7">
        <v>35</v>
      </c>
      <c r="N38" s="7">
        <v>65</v>
      </c>
      <c r="O38" s="7">
        <v>30</v>
      </c>
      <c r="P38" s="7">
        <v>70</v>
      </c>
    </row>
    <row r="39" spans="1:16" ht="20.149999999999999" customHeight="1" x14ac:dyDescent="0.45">
      <c r="A39" s="11">
        <v>29</v>
      </c>
      <c r="B39" s="10">
        <v>46006</v>
      </c>
      <c r="C39" s="10" t="s">
        <v>43</v>
      </c>
      <c r="D39" s="18">
        <v>0.95833333333333337</v>
      </c>
      <c r="E39" s="12">
        <v>50</v>
      </c>
      <c r="F39" s="12">
        <f t="shared" ref="F39:F40" si="3">E39-$B$6</f>
        <v>0</v>
      </c>
      <c r="G39" s="17" t="s">
        <v>6</v>
      </c>
      <c r="H39" s="13" t="s">
        <v>14</v>
      </c>
      <c r="J39" s="5">
        <f t="shared" si="0"/>
        <v>29</v>
      </c>
      <c r="K39" s="7">
        <v>50</v>
      </c>
      <c r="L39" s="7">
        <f t="shared" ref="L39:L41" si="4">E39</f>
        <v>50</v>
      </c>
      <c r="M39" s="7">
        <v>35</v>
      </c>
      <c r="N39" s="7">
        <v>65</v>
      </c>
      <c r="O39" s="7">
        <v>30</v>
      </c>
      <c r="P39" s="7">
        <v>70</v>
      </c>
    </row>
    <row r="40" spans="1:16" ht="20.149999999999999" customHeight="1" x14ac:dyDescent="0.45">
      <c r="A40" s="11">
        <v>30</v>
      </c>
      <c r="B40" s="10">
        <v>46006</v>
      </c>
      <c r="C40" s="10" t="s">
        <v>43</v>
      </c>
      <c r="D40" s="18">
        <v>0.125</v>
      </c>
      <c r="E40" s="12">
        <v>42</v>
      </c>
      <c r="F40" s="12">
        <f t="shared" si="3"/>
        <v>-8</v>
      </c>
      <c r="G40" s="17" t="s">
        <v>6</v>
      </c>
      <c r="H40" s="13" t="s">
        <v>14</v>
      </c>
      <c r="J40" s="5">
        <f t="shared" si="0"/>
        <v>30</v>
      </c>
      <c r="K40" s="7">
        <v>50</v>
      </c>
      <c r="L40" s="7">
        <f t="shared" si="4"/>
        <v>42</v>
      </c>
      <c r="M40" s="7">
        <v>35</v>
      </c>
      <c r="N40" s="7">
        <v>65</v>
      </c>
      <c r="O40" s="7">
        <v>30</v>
      </c>
      <c r="P40" s="7">
        <v>70</v>
      </c>
    </row>
    <row r="41" spans="1:16" ht="20.149999999999999" customHeight="1" x14ac:dyDescent="0.45">
      <c r="A41" s="11"/>
      <c r="B41" s="10"/>
      <c r="C41" s="10"/>
      <c r="D41" s="18"/>
      <c r="E41" s="12"/>
      <c r="F41" s="12"/>
      <c r="G41" s="17"/>
      <c r="H41" s="13"/>
      <c r="J41" s="5">
        <f t="shared" si="0"/>
        <v>0</v>
      </c>
      <c r="K41" s="7">
        <v>50</v>
      </c>
      <c r="L41" s="7">
        <f t="shared" si="4"/>
        <v>0</v>
      </c>
      <c r="M41" s="7">
        <v>35</v>
      </c>
      <c r="N41" s="7">
        <v>65</v>
      </c>
      <c r="O41" s="7">
        <v>30</v>
      </c>
      <c r="P41" s="7">
        <v>70</v>
      </c>
    </row>
    <row r="42" spans="1:16" ht="20.149999999999999" customHeight="1" x14ac:dyDescent="0.45">
      <c r="A42" s="11"/>
      <c r="B42" s="10"/>
      <c r="C42" s="10"/>
      <c r="D42" s="18"/>
      <c r="E42" s="12"/>
      <c r="F42" s="12"/>
      <c r="G42" s="17"/>
      <c r="H42" s="13"/>
      <c r="J42" s="5">
        <f t="shared" si="0"/>
        <v>0</v>
      </c>
      <c r="K42" s="7">
        <v>50</v>
      </c>
      <c r="L42" s="7">
        <f>E42</f>
        <v>0</v>
      </c>
      <c r="M42" s="7">
        <v>35</v>
      </c>
      <c r="N42" s="7">
        <v>65</v>
      </c>
      <c r="O42" s="7">
        <v>30</v>
      </c>
      <c r="P42" s="7">
        <v>70</v>
      </c>
    </row>
    <row r="43" spans="1:16" ht="20.149999999999999" customHeight="1" x14ac:dyDescent="0.45">
      <c r="A43" s="10" t="s">
        <v>32</v>
      </c>
      <c r="B43" s="16">
        <f>AVERAGE(E11:E40)</f>
        <v>52.366666666666667</v>
      </c>
      <c r="C43" s="10" t="s">
        <v>34</v>
      </c>
      <c r="D43" s="12">
        <v>60</v>
      </c>
      <c r="E43" s="12" t="s">
        <v>33</v>
      </c>
      <c r="F43" s="12">
        <v>42</v>
      </c>
      <c r="G43" s="17" t="s">
        <v>6</v>
      </c>
      <c r="H43" s="13" t="s">
        <v>14</v>
      </c>
      <c r="K43" s="7"/>
      <c r="L43" s="7"/>
      <c r="M43" s="7"/>
      <c r="N43" s="7"/>
      <c r="O43" s="7"/>
      <c r="P43" s="7"/>
    </row>
    <row r="44" spans="1:16" ht="40.5" customHeight="1" x14ac:dyDescent="0.45"/>
    <row r="45" spans="1:16" ht="20.149999999999999" customHeight="1" x14ac:dyDescent="0.45"/>
    <row r="46" spans="1:16" ht="13" customHeight="1" x14ac:dyDescent="0.45">
      <c r="A46" s="24" t="s">
        <v>7</v>
      </c>
      <c r="B46" s="14"/>
      <c r="C46" s="14"/>
      <c r="D46" s="15"/>
      <c r="E46" s="15"/>
      <c r="F46" s="15"/>
      <c r="G46" s="15"/>
      <c r="H46" s="15"/>
    </row>
    <row r="47" spans="1:16" ht="45.5" customHeight="1" x14ac:dyDescent="0.45">
      <c r="A47" s="14"/>
      <c r="B47" s="14"/>
      <c r="C47" s="14"/>
      <c r="D47" s="14" t="s">
        <v>0</v>
      </c>
      <c r="E47" s="14"/>
      <c r="F47" s="14"/>
      <c r="G47" s="14" t="s">
        <v>1</v>
      </c>
      <c r="H47" s="14" t="s">
        <v>2</v>
      </c>
    </row>
    <row r="48" spans="1:16" x14ac:dyDescent="0.45">
      <c r="A48" s="14"/>
      <c r="C48" s="14"/>
      <c r="D48" s="14"/>
      <c r="E48" s="14"/>
      <c r="F48" s="14"/>
      <c r="G48" s="14"/>
      <c r="H48" s="14"/>
    </row>
    <row r="49" spans="1:8" ht="15" customHeight="1" x14ac:dyDescent="0.45">
      <c r="A49" s="8" t="s">
        <v>13</v>
      </c>
      <c r="F49" s="9"/>
    </row>
    <row r="50" spans="1:8" ht="31.5" customHeight="1" x14ac:dyDescent="0.45">
      <c r="D50" s="25" t="s">
        <v>0</v>
      </c>
      <c r="E50" s="25"/>
      <c r="F50" s="14"/>
      <c r="G50" s="25" t="s">
        <v>1</v>
      </c>
      <c r="H50" s="25" t="s">
        <v>2</v>
      </c>
    </row>
    <row r="51" spans="1:8" ht="40" customHeight="1" x14ac:dyDescent="0.45"/>
    <row r="52" spans="1:8" ht="39.5" customHeight="1" x14ac:dyDescent="0.45">
      <c r="B52" s="19"/>
    </row>
    <row r="53" spans="1:8" ht="44.5" customHeight="1" x14ac:dyDescent="0.45">
      <c r="A53"/>
      <c r="C53"/>
      <c r="D53"/>
      <c r="E53"/>
      <c r="F53"/>
      <c r="G53"/>
      <c r="H53"/>
    </row>
    <row r="54" spans="1:8" x14ac:dyDescent="0.45">
      <c r="A54" s="20"/>
      <c r="C54" s="19"/>
      <c r="D54" s="21"/>
      <c r="E54" s="19"/>
      <c r="F54" s="21"/>
      <c r="G54" s="22"/>
      <c r="H54" s="23"/>
    </row>
    <row r="56" spans="1:8" customFormat="1" x14ac:dyDescent="0.45">
      <c r="A56" s="5"/>
      <c r="B56" s="5"/>
      <c r="C56" s="5"/>
      <c r="D56" s="5"/>
      <c r="E56" s="5"/>
      <c r="F56" s="5"/>
      <c r="G56" s="5"/>
      <c r="H56" s="5"/>
    </row>
    <row r="57" spans="1:8" customFormat="1" x14ac:dyDescent="0.45">
      <c r="A57" s="5"/>
      <c r="B57" s="5"/>
      <c r="C57" s="5"/>
      <c r="D57" s="5"/>
      <c r="E57" s="5"/>
      <c r="F57" s="5"/>
      <c r="G57" s="5"/>
      <c r="H57" s="5"/>
    </row>
  </sheetData>
  <mergeCells count="12">
    <mergeCell ref="G8:H8"/>
    <mergeCell ref="C1:F2"/>
    <mergeCell ref="E7:F7"/>
    <mergeCell ref="E8:F8"/>
    <mergeCell ref="E4:F4"/>
    <mergeCell ref="E5:F5"/>
    <mergeCell ref="E6:F6"/>
    <mergeCell ref="A1:B3"/>
    <mergeCell ref="G4:H4"/>
    <mergeCell ref="G5:H5"/>
    <mergeCell ref="G6:H6"/>
    <mergeCell ref="G7:H7"/>
  </mergeCells>
  <printOptions horizontalCentered="1"/>
  <pageMargins left="0.45" right="0.5" top="0.31874999999999998" bottom="0.25" header="0.3" footer="0.3"/>
  <pageSetup paperSize="9" scale="58" fitToWidth="0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2026-06-18T07:19:40Z</cp:lastPrinted>
  <dcterms:created xsi:type="dcterms:W3CDTF">2019-12-19T05:48:48Z</dcterms:created>
  <dcterms:modified xsi:type="dcterms:W3CDTF">2026-06-18T07:19:43Z</dcterms:modified>
</cp:coreProperties>
</file>