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Dece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<sst xmlns="http://schemas.openxmlformats.org/spreadsheetml/2006/main" count="139" uniqueCount="52">
  <si>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</si>
  <si>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</si>
  <si>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</si>
  <si>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</si>
  <si>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</si>
  <si>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</si>
  <si>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</si>
  <si>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</si>
  <si>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</si>
  <si>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</si>
  <si>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</si>
  <si>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</si>
  <si>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</si>
  <si>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</si>
  <si>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</si>
  <si>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</si>
  <si>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</si>
  <si>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</si>
  <si>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</si>
  <si>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</si>
  <si>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</si>
  <si>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</si>
  <si>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</si>
  <si>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</si>
  <si>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</si>
  <si>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</si>
  <si>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</si>
  <si>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</si>
  <si>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</si>
  <si>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</si>
  <si>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</si>
  <si>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</si>
  <si>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</si>
  <si>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</si>
  <si>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</si>
  <si>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</si>
  <si>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</si>
  <si>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</si>
  <si>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</si>
  <si>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</si>
  <si>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</si>
  <si>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</si>
  <si>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</si>
  <si>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</si>
  <si>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</si>
  <si>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</si>
  <si>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</si>
  <si>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</si>
  <si>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</si>
  <si>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</si>
  <si>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December-2025 (First Half)</t>
  </si>
  <si>
    <t>VAN/QC/EQP-001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</si>
</sst>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46</c:v>
                </c:pt>
                <c:pt idx="2">
                  <c:v>50</c:v>
                </c:pt>
                <c:pt idx="3">
                  <c:v>43</c:v>
                </c:pt>
                <c:pt idx="4">
                  <c:v>52</c:v>
                </c:pt>
                <c:pt idx="5">
                  <c:v>47</c:v>
                </c:pt>
                <c:pt idx="6">
                  <c:v>55</c:v>
                </c:pt>
                <c:pt idx="7">
                  <c:v>52</c:v>
                </c:pt>
                <c:pt idx="8">
                  <c:v>58</c:v>
                </c:pt>
                <c:pt idx="9">
                  <c:v>49</c:v>
                </c:pt>
                <c:pt idx="10">
                  <c:v>59</c:v>
                </c:pt>
                <c:pt idx="11">
                  <c:v>48</c:v>
                </c:pt>
                <c:pt idx="12">
                  <c:v>61</c:v>
                </c:pt>
                <c:pt idx="13">
                  <c:v>50</c:v>
                </c:pt>
                <c:pt idx="14">
                  <c:v>61</c:v>
                </c:pt>
                <c:pt idx="15">
                  <c:v>53</c:v>
                </c:pt>
                <c:pt idx="16">
                  <c:v>57</c:v>
                </c:pt>
                <c:pt idx="17">
                  <c:v>45</c:v>
                </c:pt>
                <c:pt idx="18">
                  <c:v>56</c:v>
                </c:pt>
                <c:pt idx="19">
                  <c:v>52</c:v>
                </c:pt>
                <c:pt idx="20">
                  <c:v>55</c:v>
                </c:pt>
                <c:pt idx="21">
                  <c:v>50</c:v>
                </c:pt>
                <c:pt idx="22">
                  <c:v>59</c:v>
                </c:pt>
                <c:pt idx="23">
                  <c:v>48</c:v>
                </c:pt>
                <c:pt idx="24">
                  <c:v>54</c:v>
                </c:pt>
                <c:pt idx="25">
                  <c:v>48</c:v>
                </c:pt>
                <c:pt idx="26">
                  <c:v>60</c:v>
                </c:pt>
                <c:pt idx="27">
                  <c:v>51</c:v>
                </c:pt>
                <c:pt idx="28">
                  <c:v>58</c:v>
                </c:pt>
                <c:pt idx="2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zoomScaleNormal="100" zoomScaleSheetLayoutView="100" workbookViewId="0">
      <selection activeCell="A44" sqref="A44:H46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38</v>
      </c>
      <c r="H1" s="32" t="s">
        <v>40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39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9" t="s">
        <v>17</v>
      </c>
      <c r="F4" s="50"/>
      <c r="G4" s="47" t="s">
        <v>50</v>
      </c>
      <c r="H4" s="48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9" t="s">
        <v>16</v>
      </c>
      <c r="F5" s="50"/>
      <c r="G5" s="49" t="s">
        <v>37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51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45992</v>
      </c>
      <c r="C11" s="10" t="s">
        <v>44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45992</v>
      </c>
      <c r="C12" s="10" t="s">
        <v>44</v>
      </c>
      <c r="D12" s="18">
        <v>0.625</v>
      </c>
      <c r="E12" s="12">
        <v>46</v>
      </c>
      <c r="F12" s="12">
        <f t="shared" ref="F12:F38" si="2">E12-$B$6</f>
        <v>-4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46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45993</v>
      </c>
      <c r="C13" s="10" t="s">
        <v>45</v>
      </c>
      <c r="D13" s="18">
        <v>0.45833333333333331</v>
      </c>
      <c r="E13" s="12">
        <v>50</v>
      </c>
      <c r="F13" s="12">
        <f t="shared" si="2"/>
        <v>0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50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45993</v>
      </c>
      <c r="C14" s="10" t="s">
        <v>45</v>
      </c>
      <c r="D14" s="18">
        <v>0.625</v>
      </c>
      <c r="E14" s="12">
        <v>43</v>
      </c>
      <c r="F14" s="12">
        <f t="shared" si="2"/>
        <v>-7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43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45994</v>
      </c>
      <c r="C15" s="10" t="s">
        <v>46</v>
      </c>
      <c r="D15" s="18">
        <v>0.45833333333333331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45994</v>
      </c>
      <c r="C16" s="10" t="s">
        <v>46</v>
      </c>
      <c r="D16" s="18">
        <v>0.625</v>
      </c>
      <c r="E16" s="12">
        <v>47</v>
      </c>
      <c r="F16" s="12">
        <f t="shared" si="2"/>
        <v>-3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47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45995</v>
      </c>
      <c r="C17" s="10" t="s">
        <v>47</v>
      </c>
      <c r="D17" s="18">
        <v>0.45833333333333331</v>
      </c>
      <c r="E17" s="12">
        <v>55</v>
      </c>
      <c r="F17" s="12">
        <f t="shared" si="2"/>
        <v>5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55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45995</v>
      </c>
      <c r="C18" s="10" t="s">
        <v>47</v>
      </c>
      <c r="D18" s="18">
        <v>0.625</v>
      </c>
      <c r="E18" s="12">
        <v>52</v>
      </c>
      <c r="F18" s="12">
        <f t="shared" si="2"/>
        <v>2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52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45996</v>
      </c>
      <c r="C19" s="10" t="s">
        <v>48</v>
      </c>
      <c r="D19" s="18">
        <v>0.45833333333333331</v>
      </c>
      <c r="E19" s="12">
        <v>58</v>
      </c>
      <c r="F19" s="12">
        <f t="shared" si="2"/>
        <v>8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58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45996</v>
      </c>
      <c r="C20" s="10" t="s">
        <v>48</v>
      </c>
      <c r="D20" s="18">
        <v>0.625</v>
      </c>
      <c r="E20" s="12">
        <v>49</v>
      </c>
      <c r="F20" s="12">
        <f t="shared" si="2"/>
        <v>-1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45997</v>
      </c>
      <c r="C21" s="10" t="s">
        <v>49</v>
      </c>
      <c r="D21" s="18">
        <v>0.45833333333333331</v>
      </c>
      <c r="E21" s="12">
        <v>59</v>
      </c>
      <c r="F21" s="12">
        <f t="shared" si="2"/>
        <v>9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59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45997</v>
      </c>
      <c r="C22" s="10" t="s">
        <v>49</v>
      </c>
      <c r="D22" s="18">
        <v>0.625</v>
      </c>
      <c r="E22" s="12">
        <v>48</v>
      </c>
      <c r="F22" s="12">
        <f t="shared" si="2"/>
        <v>-2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48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45998</v>
      </c>
      <c r="C23" s="39" t="s">
        <v>43</v>
      </c>
      <c r="D23" s="18">
        <v>0.45833333333333331</v>
      </c>
      <c r="E23" s="12">
        <v>61</v>
      </c>
      <c r="F23" s="12">
        <f t="shared" si="2"/>
        <v>11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61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45998</v>
      </c>
      <c r="C24" s="39" t="s">
        <v>43</v>
      </c>
      <c r="D24" s="18">
        <v>0.625</v>
      </c>
      <c r="E24" s="12">
        <v>50</v>
      </c>
      <c r="F24" s="12">
        <f t="shared" si="2"/>
        <v>0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50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45999</v>
      </c>
      <c r="C25" s="10" t="s">
        <v>44</v>
      </c>
      <c r="D25" s="18">
        <v>0.45833333333333331</v>
      </c>
      <c r="E25" s="12">
        <v>61</v>
      </c>
      <c r="F25" s="12">
        <f t="shared" si="2"/>
        <v>11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61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45999</v>
      </c>
      <c r="C26" s="10" t="s">
        <v>44</v>
      </c>
      <c r="D26" s="18">
        <v>0.625</v>
      </c>
      <c r="E26" s="12">
        <v>53</v>
      </c>
      <c r="F26" s="12">
        <f t="shared" si="2"/>
        <v>3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53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46000</v>
      </c>
      <c r="C27" s="10" t="s">
        <v>45</v>
      </c>
      <c r="D27" s="18">
        <v>0.45833333333333331</v>
      </c>
      <c r="E27" s="12">
        <v>57</v>
      </c>
      <c r="F27" s="12">
        <f t="shared" si="2"/>
        <v>7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57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46000</v>
      </c>
      <c r="C28" s="10" t="s">
        <v>45</v>
      </c>
      <c r="D28" s="18">
        <v>0.625</v>
      </c>
      <c r="E28" s="12">
        <v>45</v>
      </c>
      <c r="F28" s="12">
        <f t="shared" si="2"/>
        <v>-5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45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46001</v>
      </c>
      <c r="C29" s="10" t="s">
        <v>46</v>
      </c>
      <c r="D29" s="18">
        <v>0.45833333333333331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46001</v>
      </c>
      <c r="C30" s="10" t="s">
        <v>46</v>
      </c>
      <c r="D30" s="18">
        <v>0.625</v>
      </c>
      <c r="E30" s="12">
        <v>52</v>
      </c>
      <c r="F30" s="12">
        <f t="shared" si="2"/>
        <v>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46002</v>
      </c>
      <c r="C31" s="10" t="s">
        <v>47</v>
      </c>
      <c r="D31" s="18">
        <v>0.45833333333333331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46002</v>
      </c>
      <c r="C32" s="10" t="s">
        <v>47</v>
      </c>
      <c r="D32" s="18">
        <v>0.625</v>
      </c>
      <c r="E32" s="12">
        <v>50</v>
      </c>
      <c r="F32" s="12">
        <f t="shared" si="2"/>
        <v>0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50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46003</v>
      </c>
      <c r="C33" s="10" t="s">
        <v>48</v>
      </c>
      <c r="D33" s="18">
        <v>0.45833333333333331</v>
      </c>
      <c r="E33" s="12">
        <v>59</v>
      </c>
      <c r="F33" s="12">
        <f t="shared" si="2"/>
        <v>9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59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46003</v>
      </c>
      <c r="C34" s="10" t="s">
        <v>48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46004</v>
      </c>
      <c r="C35" s="10" t="s">
        <v>49</v>
      </c>
      <c r="D35" s="38" t="s">
        <v>42</v>
      </c>
      <c r="E35" s="12">
        <v>54</v>
      </c>
      <c r="F35" s="12">
        <f t="shared" si="2"/>
        <v>4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46004</v>
      </c>
      <c r="C36" s="10" t="s">
        <v>49</v>
      </c>
      <c r="D36" s="18">
        <v>0.625</v>
      </c>
      <c r="E36" s="12">
        <v>48</v>
      </c>
      <c r="F36" s="12">
        <f t="shared" si="2"/>
        <v>-2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46005</v>
      </c>
      <c r="C37" s="40" t="s">
        <v>43</v>
      </c>
      <c r="D37" s="18">
        <v>0.45833333333333331</v>
      </c>
      <c r="E37" s="12">
        <v>60</v>
      </c>
      <c r="F37" s="12">
        <f t="shared" si="2"/>
        <v>10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60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46005</v>
      </c>
      <c r="C38" s="40" t="s">
        <v>43</v>
      </c>
      <c r="D38" s="18">
        <v>0.625</v>
      </c>
      <c r="E38" s="12">
        <v>51</v>
      </c>
      <c r="F38" s="12">
        <f t="shared" si="2"/>
        <v>1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51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46006</v>
      </c>
      <c r="C39" s="40" t="s">
        <v>44</v>
      </c>
      <c r="D39" s="18">
        <v>0.45833333333333331</v>
      </c>
      <c r="E39" s="12">
        <v>58</v>
      </c>
      <c r="F39" s="12">
        <f t="shared" ref="F39:F40" si="3">E39-$B$6</f>
        <v>8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58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46006</v>
      </c>
      <c r="C40" s="40" t="s">
        <v>44</v>
      </c>
      <c r="D40" s="18">
        <v>0.625</v>
      </c>
      <c r="E40" s="12">
        <v>47</v>
      </c>
      <c r="F40" s="12">
        <f t="shared" si="3"/>
        <v>-3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47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52.6</v>
      </c>
      <c r="C43" s="10" t="s">
        <v>34</v>
      </c>
      <c r="D43" s="12">
        <v>61</v>
      </c>
      <c r="E43" s="12" t="s">
        <v>33</v>
      </c>
      <c r="F43" s="12">
        <v>48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37.5" customHeight="1" x14ac:dyDescent="0.45"/>
    <row r="45" spans="1:16" ht="20.149999999999999" customHeight="1" x14ac:dyDescent="0.45"/>
    <row r="46" spans="1:16" ht="13" customHeight="1" x14ac:dyDescent="0.45">
      <c r="A46" s="24" t="s">
        <v>7</v>
      </c>
      <c r="B46" s="14"/>
      <c r="C46" s="14"/>
      <c r="D46" s="15"/>
      <c r="E46" s="15"/>
      <c r="F46" s="15"/>
      <c r="G46" s="15"/>
      <c r="H46" s="15"/>
    </row>
    <row r="47" spans="1:16" ht="45.5" customHeight="1" x14ac:dyDescent="0.45">
      <c r="A47" s="14"/>
      <c r="B47" s="14"/>
      <c r="C47" s="14"/>
      <c r="D47" s="14" t="s">
        <v>0</v>
      </c>
      <c r="E47" s="14"/>
      <c r="F47" s="14"/>
      <c r="G47" s="14" t="s">
        <v>1</v>
      </c>
      <c r="H47" s="14" t="s">
        <v>2</v>
      </c>
    </row>
    <row r="48" spans="1:16" x14ac:dyDescent="0.45">
      <c r="A48" s="14"/>
      <c r="C48" s="14"/>
      <c r="D48" s="14"/>
      <c r="E48" s="14"/>
      <c r="F48" s="14"/>
      <c r="G48" s="14"/>
      <c r="H48" s="14"/>
    </row>
    <row r="49" spans="1:8" ht="15" customHeight="1" x14ac:dyDescent="0.45">
      <c r="A49" s="8" t="s">
        <v>13</v>
      </c>
      <c r="F49" s="9"/>
    </row>
    <row r="50" spans="1:8" ht="31.5" customHeight="1" x14ac:dyDescent="0.45">
      <c r="D50" s="25" t="s">
        <v>0</v>
      </c>
      <c r="E50" s="25"/>
      <c r="F50" s="14"/>
      <c r="G50" s="25" t="s">
        <v>1</v>
      </c>
      <c r="H50" s="25" t="s">
        <v>2</v>
      </c>
    </row>
    <row r="51" spans="1:8" ht="40" customHeight="1" x14ac:dyDescent="0.45"/>
    <row r="52" spans="1:8" ht="39.5" customHeight="1" x14ac:dyDescent="0.45">
      <c r="B52" s="19"/>
    </row>
    <row r="53" spans="1:8" ht="44.5" customHeight="1" x14ac:dyDescent="0.45">
      <c r="A53"/>
      <c r="C53"/>
      <c r="D53"/>
      <c r="E53"/>
      <c r="F53"/>
      <c r="G53"/>
      <c r="H53"/>
    </row>
    <row r="54" spans="1:8" x14ac:dyDescent="0.45">
      <c r="A54" s="20"/>
      <c r="C54" s="19"/>
      <c r="D54" s="21"/>
      <c r="E54" s="19"/>
      <c r="F54" s="21"/>
      <c r="G54" s="22"/>
      <c r="H54" s="23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0458333333333332" bottom="0.25" header="0.3" footer="0.3"/>
  <pageSetup paperSize="9" scale="59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2026-06-18T07:17:23Z</cp:lastPrinted>
  <dcterms:created xsi:type="dcterms:W3CDTF">2019-12-19T05:48:48Z</dcterms:created>
  <dcterms:modified xsi:type="dcterms:W3CDTF">2026-06-18T07:17:29Z</dcterms:modified>
</cp:coreProperties>
</file>