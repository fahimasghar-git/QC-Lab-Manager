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November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<sst xmlns="http://schemas.openxmlformats.org/spreadsheetml/2006/main" count="139" uniqueCount="52">
  <si>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</si>
  <si>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</si>
  <si>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</si>
  <si>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</si>
  <si>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</si>
  <si>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</si>
  <si>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</si>
  <si>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</si>
  <si>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</si>
  <si>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</si>
  <si>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</si>
  <si>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</si>
  <si>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</si>
  <si>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</si>
  <si>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</si>
  <si>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</si>
  <si>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</si>
  <si>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</si>
  <si>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</si>
  <si>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</si>
  <si>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</si>
  <si>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</si>
  <si>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</si>
  <si>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</si>
  <si>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</si>
  <si>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</si>
  <si>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</si>
  <si>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</si>
  <si>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</si>
  <si>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</si>
  <si>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</si>
  <si>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</si>
  <si>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</si>
  <si>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</si>
  <si>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</si>
  <si>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</si>
  <si>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</si>
  <si>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</si>
  <si>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</si>
  <si>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</si>
  <si>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</si>
  <si>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</si>
  <si>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</si>
  <si>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</si>
  <si>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</si>
  <si>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</si>
  <si>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Friday</t>
  </si>
  <si>
    <t>Saturday</t>
  </si>
  <si>
    <t>VAN/QC/EQP-001</t>
  </si>
  <si>
    <t>Maximum Humidity</t>
  </si>
  <si>
    <t>Thrusday</t>
  </si>
  <si>
    <t>November-2025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</si>
</sst>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48</c:v>
                </c:pt>
                <c:pt idx="1">
                  <c:v>46</c:v>
                </c:pt>
                <c:pt idx="2">
                  <c:v>53</c:v>
                </c:pt>
                <c:pt idx="3">
                  <c:v>50</c:v>
                </c:pt>
                <c:pt idx="4">
                  <c:v>51</c:v>
                </c:pt>
                <c:pt idx="5">
                  <c:v>48</c:v>
                </c:pt>
                <c:pt idx="6">
                  <c:v>56</c:v>
                </c:pt>
                <c:pt idx="7">
                  <c:v>52</c:v>
                </c:pt>
                <c:pt idx="8">
                  <c:v>52</c:v>
                </c:pt>
                <c:pt idx="9">
                  <c:v>49</c:v>
                </c:pt>
                <c:pt idx="10">
                  <c:v>54</c:v>
                </c:pt>
                <c:pt idx="11">
                  <c:v>51</c:v>
                </c:pt>
                <c:pt idx="12">
                  <c:v>55</c:v>
                </c:pt>
                <c:pt idx="13">
                  <c:v>52</c:v>
                </c:pt>
                <c:pt idx="14">
                  <c:v>56</c:v>
                </c:pt>
                <c:pt idx="15">
                  <c:v>50</c:v>
                </c:pt>
                <c:pt idx="16">
                  <c:v>55</c:v>
                </c:pt>
                <c:pt idx="17">
                  <c:v>49</c:v>
                </c:pt>
                <c:pt idx="18">
                  <c:v>56</c:v>
                </c:pt>
                <c:pt idx="19">
                  <c:v>52</c:v>
                </c:pt>
                <c:pt idx="20">
                  <c:v>54</c:v>
                </c:pt>
                <c:pt idx="21">
                  <c:v>49</c:v>
                </c:pt>
                <c:pt idx="22">
                  <c:v>53</c:v>
                </c:pt>
                <c:pt idx="23">
                  <c:v>48</c:v>
                </c:pt>
                <c:pt idx="24">
                  <c:v>52</c:v>
                </c:pt>
                <c:pt idx="25">
                  <c:v>47</c:v>
                </c:pt>
                <c:pt idx="26">
                  <c:v>55</c:v>
                </c:pt>
                <c:pt idx="27">
                  <c:v>51</c:v>
                </c:pt>
                <c:pt idx="28">
                  <c:v>54</c:v>
                </c:pt>
                <c:pt idx="2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42" zoomScaleNormal="100" zoomScaleSheetLayoutView="100" workbookViewId="0">
      <selection activeCell="C44" sqref="C44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50"/>
      <c r="B1" s="51"/>
      <c r="C1" s="44" t="s">
        <v>3</v>
      </c>
      <c r="D1" s="44"/>
      <c r="E1" s="44"/>
      <c r="F1" s="44"/>
      <c r="G1" s="31" t="s">
        <v>37</v>
      </c>
      <c r="H1" s="32" t="s">
        <v>39</v>
      </c>
    </row>
    <row r="2" spans="1:16" customFormat="1" ht="14" customHeight="1" x14ac:dyDescent="0.35">
      <c r="A2" s="52"/>
      <c r="B2" s="53"/>
      <c r="C2" s="45"/>
      <c r="D2" s="45"/>
      <c r="E2" s="45"/>
      <c r="F2" s="45"/>
      <c r="G2" s="31" t="s">
        <v>38</v>
      </c>
      <c r="H2" s="33">
        <v>45301</v>
      </c>
    </row>
    <row r="3" spans="1:16" ht="14" customHeight="1" x14ac:dyDescent="0.45">
      <c r="A3" s="54"/>
      <c r="B3" s="55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8" t="s">
        <v>17</v>
      </c>
      <c r="F4" s="49"/>
      <c r="G4" s="56" t="s">
        <v>51</v>
      </c>
      <c r="H4" s="57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8" t="s">
        <v>16</v>
      </c>
      <c r="F5" s="49"/>
      <c r="G5" s="48" t="s">
        <v>36</v>
      </c>
      <c r="H5" s="49"/>
    </row>
    <row r="6" spans="1:16" ht="14" customHeight="1" x14ac:dyDescent="0.45">
      <c r="A6" s="35" t="s">
        <v>23</v>
      </c>
      <c r="B6" s="35">
        <v>50</v>
      </c>
      <c r="C6" s="26"/>
      <c r="D6" s="26"/>
      <c r="E6" s="48" t="s">
        <v>18</v>
      </c>
      <c r="F6" s="49"/>
      <c r="G6" s="42" t="s">
        <v>48</v>
      </c>
      <c r="H6" s="43"/>
    </row>
    <row r="7" spans="1:16" ht="14.5" customHeight="1" x14ac:dyDescent="0.45">
      <c r="A7" s="35" t="s">
        <v>24</v>
      </c>
      <c r="B7" s="35">
        <v>35</v>
      </c>
      <c r="C7" s="29"/>
      <c r="D7" s="30"/>
      <c r="E7" s="46" t="s">
        <v>26</v>
      </c>
      <c r="F7" s="47"/>
      <c r="G7" s="42">
        <v>65</v>
      </c>
      <c r="H7" s="43"/>
    </row>
    <row r="8" spans="1:16" ht="14.5" customHeight="1" x14ac:dyDescent="0.45">
      <c r="A8" s="35" t="s">
        <v>25</v>
      </c>
      <c r="B8" s="35">
        <v>30</v>
      </c>
      <c r="C8" s="36"/>
      <c r="D8" s="37"/>
      <c r="E8" s="46" t="s">
        <v>27</v>
      </c>
      <c r="F8" s="47"/>
      <c r="G8" s="42">
        <v>70</v>
      </c>
      <c r="H8" s="43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45977</v>
      </c>
      <c r="C11" s="10" t="s">
        <v>42</v>
      </c>
      <c r="D11" s="18">
        <v>0.45833333333333331</v>
      </c>
      <c r="E11" s="12">
        <v>48</v>
      </c>
      <c r="F11" s="12">
        <f>E11-$B$6</f>
        <v>-2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48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45977</v>
      </c>
      <c r="C12" s="10" t="s">
        <v>42</v>
      </c>
      <c r="D12" s="18">
        <v>0.625</v>
      </c>
      <c r="E12" s="12">
        <v>46</v>
      </c>
      <c r="F12" s="12">
        <f t="shared" ref="F12:F38" si="2">E12-$B$6</f>
        <v>-4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46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45978</v>
      </c>
      <c r="C13" s="39" t="s">
        <v>43</v>
      </c>
      <c r="D13" s="18">
        <v>0.45833333333333331</v>
      </c>
      <c r="E13" s="12">
        <v>53</v>
      </c>
      <c r="F13" s="12">
        <f t="shared" si="2"/>
        <v>3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53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45978</v>
      </c>
      <c r="C14" s="39" t="s">
        <v>43</v>
      </c>
      <c r="D14" s="18">
        <v>0.625</v>
      </c>
      <c r="E14" s="12">
        <v>50</v>
      </c>
      <c r="F14" s="12">
        <f t="shared" si="2"/>
        <v>0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50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45979</v>
      </c>
      <c r="C15" s="10" t="s">
        <v>44</v>
      </c>
      <c r="D15" s="18">
        <v>0.45833333333333331</v>
      </c>
      <c r="E15" s="12">
        <v>51</v>
      </c>
      <c r="F15" s="12">
        <f t="shared" si="2"/>
        <v>1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51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45979</v>
      </c>
      <c r="C16" s="10" t="s">
        <v>44</v>
      </c>
      <c r="D16" s="18">
        <v>0.625</v>
      </c>
      <c r="E16" s="12">
        <v>48</v>
      </c>
      <c r="F16" s="12">
        <f t="shared" si="2"/>
        <v>-2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48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45980</v>
      </c>
      <c r="C17" s="10" t="s">
        <v>45</v>
      </c>
      <c r="D17" s="18">
        <v>0.45833333333333331</v>
      </c>
      <c r="E17" s="12">
        <v>56</v>
      </c>
      <c r="F17" s="12">
        <f t="shared" si="2"/>
        <v>6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56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45980</v>
      </c>
      <c r="C18" s="10" t="s">
        <v>45</v>
      </c>
      <c r="D18" s="18">
        <v>0.625</v>
      </c>
      <c r="E18" s="12">
        <v>52</v>
      </c>
      <c r="F18" s="12">
        <f t="shared" si="2"/>
        <v>2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52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45981</v>
      </c>
      <c r="C19" s="10" t="s">
        <v>50</v>
      </c>
      <c r="D19" s="18">
        <v>0.45833333333333331</v>
      </c>
      <c r="E19" s="12">
        <v>52</v>
      </c>
      <c r="F19" s="12">
        <f t="shared" si="2"/>
        <v>2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52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45981</v>
      </c>
      <c r="C20" s="10" t="s">
        <v>50</v>
      </c>
      <c r="D20" s="18">
        <v>0.625</v>
      </c>
      <c r="E20" s="12">
        <v>49</v>
      </c>
      <c r="F20" s="12">
        <f t="shared" si="2"/>
        <v>-1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49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45982</v>
      </c>
      <c r="C21" s="10" t="s">
        <v>46</v>
      </c>
      <c r="D21" s="18">
        <v>0.45833333333333331</v>
      </c>
      <c r="E21" s="12">
        <v>54</v>
      </c>
      <c r="F21" s="12">
        <f t="shared" si="2"/>
        <v>4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54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45982</v>
      </c>
      <c r="C22" s="10" t="s">
        <v>46</v>
      </c>
      <c r="D22" s="18">
        <v>0.625</v>
      </c>
      <c r="E22" s="12">
        <v>51</v>
      </c>
      <c r="F22" s="12">
        <f t="shared" si="2"/>
        <v>1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51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45983</v>
      </c>
      <c r="C23" s="10" t="s">
        <v>47</v>
      </c>
      <c r="D23" s="18">
        <v>0.45833333333333331</v>
      </c>
      <c r="E23" s="12">
        <v>55</v>
      </c>
      <c r="F23" s="12">
        <f t="shared" si="2"/>
        <v>5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55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45983</v>
      </c>
      <c r="C24" s="10" t="s">
        <v>47</v>
      </c>
      <c r="D24" s="18">
        <v>0.625</v>
      </c>
      <c r="E24" s="12">
        <v>52</v>
      </c>
      <c r="F24" s="12">
        <f t="shared" si="2"/>
        <v>2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52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45984</v>
      </c>
      <c r="C25" s="40" t="s">
        <v>42</v>
      </c>
      <c r="D25" s="18">
        <v>0.45833333333333331</v>
      </c>
      <c r="E25" s="12">
        <v>56</v>
      </c>
      <c r="F25" s="12">
        <f t="shared" si="2"/>
        <v>6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56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45984</v>
      </c>
      <c r="C26" s="40" t="s">
        <v>42</v>
      </c>
      <c r="D26" s="18">
        <v>0.625</v>
      </c>
      <c r="E26" s="12">
        <v>50</v>
      </c>
      <c r="F26" s="12">
        <f t="shared" si="2"/>
        <v>0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50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45985</v>
      </c>
      <c r="C27" s="40" t="s">
        <v>43</v>
      </c>
      <c r="D27" s="18">
        <v>0.45833333333333331</v>
      </c>
      <c r="E27" s="12">
        <v>55</v>
      </c>
      <c r="F27" s="12">
        <f t="shared" si="2"/>
        <v>5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55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45985</v>
      </c>
      <c r="C28" s="40" t="s">
        <v>43</v>
      </c>
      <c r="D28" s="18">
        <v>0.625</v>
      </c>
      <c r="E28" s="12">
        <v>49</v>
      </c>
      <c r="F28" s="12">
        <f t="shared" si="2"/>
        <v>-1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49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45986</v>
      </c>
      <c r="C29" s="40" t="s">
        <v>44</v>
      </c>
      <c r="D29" s="18">
        <v>0.45833333333333331</v>
      </c>
      <c r="E29" s="12">
        <v>56</v>
      </c>
      <c r="F29" s="12">
        <f t="shared" si="2"/>
        <v>6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56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45986</v>
      </c>
      <c r="C30" s="40" t="s">
        <v>44</v>
      </c>
      <c r="D30" s="18">
        <v>0.625</v>
      </c>
      <c r="E30" s="12">
        <v>52</v>
      </c>
      <c r="F30" s="12">
        <f t="shared" si="2"/>
        <v>2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52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45987</v>
      </c>
      <c r="C31" s="40" t="s">
        <v>45</v>
      </c>
      <c r="D31" s="18">
        <v>0.45833333333333331</v>
      </c>
      <c r="E31" s="12">
        <v>54</v>
      </c>
      <c r="F31" s="12">
        <f t="shared" si="2"/>
        <v>4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54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45987</v>
      </c>
      <c r="C32" s="40" t="s">
        <v>45</v>
      </c>
      <c r="D32" s="18">
        <v>0.625</v>
      </c>
      <c r="E32" s="12">
        <v>49</v>
      </c>
      <c r="F32" s="12">
        <f t="shared" si="2"/>
        <v>-1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49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45988</v>
      </c>
      <c r="C33" s="40" t="s">
        <v>50</v>
      </c>
      <c r="D33" s="18">
        <v>0.45833333333333331</v>
      </c>
      <c r="E33" s="12">
        <v>53</v>
      </c>
      <c r="F33" s="12">
        <f t="shared" si="2"/>
        <v>3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53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45988</v>
      </c>
      <c r="C34" s="40" t="s">
        <v>50</v>
      </c>
      <c r="D34" s="18">
        <v>0.625</v>
      </c>
      <c r="E34" s="12">
        <v>48</v>
      </c>
      <c r="F34" s="12">
        <f t="shared" si="2"/>
        <v>-2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48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45989</v>
      </c>
      <c r="C35" s="41" t="s">
        <v>46</v>
      </c>
      <c r="D35" s="38" t="s">
        <v>41</v>
      </c>
      <c r="E35" s="12">
        <v>52</v>
      </c>
      <c r="F35" s="12">
        <f t="shared" si="2"/>
        <v>2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52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45989</v>
      </c>
      <c r="C36" s="41" t="s">
        <v>46</v>
      </c>
      <c r="D36" s="18">
        <v>0.625</v>
      </c>
      <c r="E36" s="12">
        <v>47</v>
      </c>
      <c r="F36" s="12">
        <f t="shared" si="2"/>
        <v>-3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47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45990</v>
      </c>
      <c r="C37" s="41" t="s">
        <v>47</v>
      </c>
      <c r="D37" s="18">
        <v>0.45833333333333331</v>
      </c>
      <c r="E37" s="12">
        <v>55</v>
      </c>
      <c r="F37" s="12">
        <f t="shared" si="2"/>
        <v>5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55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45990</v>
      </c>
      <c r="C38" s="41" t="s">
        <v>47</v>
      </c>
      <c r="D38" s="18">
        <v>0.625</v>
      </c>
      <c r="E38" s="12">
        <v>51</v>
      </c>
      <c r="F38" s="12">
        <f t="shared" si="2"/>
        <v>1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51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45991</v>
      </c>
      <c r="C39" s="41" t="s">
        <v>42</v>
      </c>
      <c r="D39" s="18">
        <v>0.45833333333333331</v>
      </c>
      <c r="E39" s="12">
        <v>54</v>
      </c>
      <c r="F39" s="12">
        <f t="shared" ref="F39:F40" si="3">E39-$B$6</f>
        <v>4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54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45991</v>
      </c>
      <c r="C40" s="41" t="s">
        <v>42</v>
      </c>
      <c r="D40" s="18">
        <v>0.625</v>
      </c>
      <c r="E40" s="12">
        <v>48</v>
      </c>
      <c r="F40" s="12">
        <f t="shared" si="3"/>
        <v>-2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48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41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41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AVERAGE(E11:E43)</f>
        <v>51.533333333333331</v>
      </c>
      <c r="C43" s="10" t="s">
        <v>49</v>
      </c>
      <c r="D43" s="12">
        <v>56</v>
      </c>
      <c r="E43" s="12" t="s">
        <v>33</v>
      </c>
      <c r="F43" s="12">
        <v>46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18" customHeight="1" x14ac:dyDescent="0.45"/>
    <row r="45" spans="1:16" ht="20.149999999999999" customHeight="1" x14ac:dyDescent="0.45">
      <c r="A45" s="24" t="s">
        <v>7</v>
      </c>
      <c r="B45" s="14"/>
      <c r="C45" s="14"/>
      <c r="D45" s="15"/>
      <c r="E45" s="15"/>
      <c r="F45" s="15"/>
      <c r="G45" s="15"/>
      <c r="H45" s="15"/>
    </row>
    <row r="46" spans="1:16" ht="13" customHeight="1" x14ac:dyDescent="0.45">
      <c r="A46" s="14"/>
      <c r="B46" s="14"/>
      <c r="C46" s="14"/>
      <c r="D46" s="14" t="s">
        <v>0</v>
      </c>
      <c r="E46" s="14"/>
      <c r="F46" s="14"/>
      <c r="G46" s="14" t="s">
        <v>1</v>
      </c>
      <c r="H46" s="14" t="s">
        <v>2</v>
      </c>
    </row>
    <row r="47" spans="1:16" ht="45.5" customHeight="1" x14ac:dyDescent="0.45">
      <c r="A47" s="14"/>
      <c r="C47" s="14"/>
      <c r="D47" s="14"/>
      <c r="E47" s="14"/>
      <c r="F47" s="14"/>
      <c r="G47" s="14"/>
      <c r="H47" s="14"/>
    </row>
    <row r="48" spans="1:16" x14ac:dyDescent="0.45">
      <c r="A48" s="8" t="s">
        <v>13</v>
      </c>
      <c r="F48" s="9"/>
    </row>
    <row r="49" spans="1:8" ht="15" customHeight="1" x14ac:dyDescent="0.45">
      <c r="D49" s="25" t="s">
        <v>0</v>
      </c>
      <c r="E49" s="25"/>
      <c r="F49" s="14"/>
      <c r="G49" s="25" t="s">
        <v>1</v>
      </c>
      <c r="H49" s="25" t="s">
        <v>2</v>
      </c>
    </row>
    <row r="50" spans="1:8" ht="31.5" customHeight="1" x14ac:dyDescent="0.45"/>
    <row r="51" spans="1:8" ht="40" customHeight="1" x14ac:dyDescent="0.45">
      <c r="B51" s="19"/>
    </row>
    <row r="52" spans="1:8" ht="39.5" customHeight="1" x14ac:dyDescent="0.45">
      <c r="A52"/>
      <c r="C52"/>
      <c r="D52"/>
      <c r="E52"/>
      <c r="F52"/>
      <c r="G52"/>
      <c r="H52"/>
    </row>
    <row r="53" spans="1:8" ht="44.5" customHeight="1" x14ac:dyDescent="0.45">
      <c r="A53" s="20"/>
      <c r="C53" s="19"/>
      <c r="D53" s="21"/>
      <c r="E53" s="19"/>
      <c r="F53" s="21"/>
      <c r="G53" s="22"/>
      <c r="H53" s="23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0104166666666665" bottom="0.25" header="0.3" footer="0.3"/>
  <pageSetup paperSize="9" scale="61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2026-06-18T07:11:05Z</cp:lastPrinted>
  <dcterms:created xsi:type="dcterms:W3CDTF">2019-12-19T05:48:48Z</dcterms:created>
  <dcterms:modified xsi:type="dcterms:W3CDTF">2026-06-18T07:11:23Z</dcterms:modified>
</cp:coreProperties>
</file>