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Febur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4" l="1"/>
  <c r="J20" i="4"/>
  <c r="J13" i="4" l="1"/>
  <c r="J14" i="4"/>
  <c r="J15" i="4"/>
  <c r="J16" i="4"/>
  <c r="J17" i="4"/>
  <c r="J18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6" i="4"/>
  <c r="L36" i="4"/>
  <c r="F35" i="4"/>
  <c r="L35" i="4"/>
  <c r="F22" i="4"/>
  <c r="L22" i="4"/>
  <c r="F21" i="4"/>
  <c r="L21" i="4"/>
  <c r="F11" i="4" l="1"/>
  <c r="B41" i="4" l="1"/>
  <c r="L37" i="4" l="1"/>
  <c r="L38" i="4"/>
  <c r="F37" i="4" l="1"/>
  <c r="F38" i="4"/>
  <c r="F34" i="4" l="1"/>
  <c r="F33" i="4"/>
  <c r="F32" i="4"/>
  <c r="F31" i="4"/>
  <c r="F30" i="4"/>
  <c r="F29" i="4"/>
  <c r="F12" i="4" l="1"/>
  <c r="F13" i="4"/>
  <c r="F14" i="4"/>
  <c r="F15" i="4"/>
  <c r="F16" i="4"/>
  <c r="F17" i="4"/>
  <c r="F18" i="4"/>
  <c r="F19" i="4"/>
  <c r="F20" i="4"/>
  <c r="F23" i="4"/>
  <c r="F24" i="4"/>
  <c r="F25" i="4"/>
  <c r="F26" i="4"/>
  <c r="F27" i="4"/>
  <c r="F28" i="4"/>
  <c r="L11" i="4" l="1"/>
  <c r="L34" i="4" l="1"/>
  <c r="L33" i="4"/>
  <c r="L32" i="4"/>
  <c r="L31" i="4"/>
  <c r="L30" i="4"/>
  <c r="L29" i="4"/>
  <c r="L28" i="4"/>
  <c r="L27" i="4"/>
  <c r="L26" i="4"/>
  <c r="L25" i="4"/>
  <c r="L24" i="4"/>
  <c r="L23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<sst xmlns="http://schemas.openxmlformats.org/spreadsheetml/2006/main" count="132" uniqueCount="51">
  <si>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</si>
  <si>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</si>
  <si>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</si>
  <si>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</si>
  <si>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</si>
  <si>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</si>
  <si>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</si>
  <si>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</si>
  <si>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</si>
  <si>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</si>
  <si>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</si>
  <si>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</si>
  <si>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</si>
  <si>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</si>
  <si>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</si>
  <si>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</si>
  <si>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</si>
  <si>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</si>
  <si>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</si>
  <si>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</si>
  <si>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</si>
  <si>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</si>
  <si>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</si>
  <si>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</si>
  <si>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</si>
  <si>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</si>
  <si>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</si>
  <si>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</si>
  <si>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</si>
  <si>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</si>
  <si>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</si>
  <si>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</si>
  <si>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</si>
  <si>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</si>
  <si>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</si>
  <si>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</si>
  <si>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</si>
  <si>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</si>
  <si>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</si>
  <si>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</si>
  <si>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</si>
  <si>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</si>
  <si>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>Sunday</t>
  </si>
  <si>
    <t>Monday</t>
  </si>
  <si>
    <t>Tuesday</t>
  </si>
  <si>
    <t>Wednesday</t>
  </si>
  <si>
    <t>Thursday</t>
  </si>
  <si>
    <t>Friday</t>
  </si>
  <si>
    <t>Saturday</t>
  </si>
  <si>
    <t>Maximum Humidity</t>
  </si>
  <si>
    <t>Feburary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</si>
</sst>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56</c:v>
                </c:pt>
                <c:pt idx="1">
                  <c:v>52</c:v>
                </c:pt>
                <c:pt idx="2">
                  <c:v>55</c:v>
                </c:pt>
                <c:pt idx="3">
                  <c:v>50</c:v>
                </c:pt>
                <c:pt idx="4">
                  <c:v>56</c:v>
                </c:pt>
                <c:pt idx="5">
                  <c:v>51</c:v>
                </c:pt>
                <c:pt idx="6">
                  <c:v>54</c:v>
                </c:pt>
                <c:pt idx="7">
                  <c:v>49</c:v>
                </c:pt>
                <c:pt idx="8">
                  <c:v>56</c:v>
                </c:pt>
                <c:pt idx="9">
                  <c:v>51</c:v>
                </c:pt>
                <c:pt idx="10">
                  <c:v>53</c:v>
                </c:pt>
                <c:pt idx="11">
                  <c:v>47</c:v>
                </c:pt>
                <c:pt idx="12">
                  <c:v>54</c:v>
                </c:pt>
                <c:pt idx="13">
                  <c:v>49</c:v>
                </c:pt>
                <c:pt idx="14">
                  <c:v>55</c:v>
                </c:pt>
                <c:pt idx="15">
                  <c:v>51</c:v>
                </c:pt>
                <c:pt idx="16">
                  <c:v>53</c:v>
                </c:pt>
                <c:pt idx="17">
                  <c:v>48</c:v>
                </c:pt>
                <c:pt idx="18">
                  <c:v>56</c:v>
                </c:pt>
                <c:pt idx="19">
                  <c:v>50</c:v>
                </c:pt>
                <c:pt idx="20">
                  <c:v>57</c:v>
                </c:pt>
                <c:pt idx="21">
                  <c:v>52</c:v>
                </c:pt>
                <c:pt idx="22">
                  <c:v>55</c:v>
                </c:pt>
                <c:pt idx="23">
                  <c:v>49</c:v>
                </c:pt>
                <c:pt idx="24">
                  <c:v>56</c:v>
                </c:pt>
                <c:pt idx="25">
                  <c:v>51</c:v>
                </c:pt>
                <c:pt idx="26">
                  <c:v>57</c:v>
                </c:pt>
                <c:pt idx="2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="105" zoomScaleNormal="100" zoomScaleSheetLayoutView="100" zoomScalePageLayoutView="105" workbookViewId="0">
      <selection activeCell="E11" sqref="E11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37</v>
      </c>
      <c r="H1" s="32" t="s">
        <v>39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38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46" t="s">
        <v>50</v>
      </c>
      <c r="H4" s="4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41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45689</v>
      </c>
      <c r="C11" s="10" t="s">
        <v>48</v>
      </c>
      <c r="D11" s="18">
        <v>0.95833333333333337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20" si="0">A11</f>
        <v>1</v>
      </c>
      <c r="K11" s="7">
        <v>50</v>
      </c>
      <c r="L11" s="7">
        <f t="shared" ref="L11:L18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45689</v>
      </c>
      <c r="C12" s="10" t="s">
        <v>48</v>
      </c>
      <c r="D12" s="18">
        <v>0.125</v>
      </c>
      <c r="E12" s="12">
        <v>52</v>
      </c>
      <c r="F12" s="12">
        <f t="shared" ref="F12:F36" si="2">E12-$B$6</f>
        <v>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52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45690</v>
      </c>
      <c r="C13" s="10" t="s">
        <v>42</v>
      </c>
      <c r="D13" s="18">
        <v>0.95833333333333337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45690</v>
      </c>
      <c r="C14" s="10" t="s">
        <v>42</v>
      </c>
      <c r="D14" s="18">
        <v>0.125</v>
      </c>
      <c r="E14" s="12">
        <v>50</v>
      </c>
      <c r="F14" s="12">
        <f t="shared" si="2"/>
        <v>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45691</v>
      </c>
      <c r="C15" s="10" t="s">
        <v>43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45691</v>
      </c>
      <c r="C16" s="10" t="s">
        <v>43</v>
      </c>
      <c r="D16" s="18">
        <v>0.125</v>
      </c>
      <c r="E16" s="12">
        <v>51</v>
      </c>
      <c r="F16" s="12">
        <f t="shared" si="2"/>
        <v>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51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45692</v>
      </c>
      <c r="C17" s="10" t="s">
        <v>44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45692</v>
      </c>
      <c r="C18" s="10" t="s">
        <v>44</v>
      </c>
      <c r="D18" s="18">
        <v>0.125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45694</v>
      </c>
      <c r="C19" s="10" t="s">
        <v>46</v>
      </c>
      <c r="D19" s="18">
        <v>0.95833333333333337</v>
      </c>
      <c r="E19" s="12">
        <v>56</v>
      </c>
      <c r="F19" s="12">
        <f t="shared" si="2"/>
        <v>6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ref="L19:L36" si="3">E19</f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45694</v>
      </c>
      <c r="C20" s="10" t="s">
        <v>46</v>
      </c>
      <c r="D20" s="18">
        <v>0.125</v>
      </c>
      <c r="E20" s="12">
        <v>51</v>
      </c>
      <c r="F20" s="12">
        <f t="shared" si="2"/>
        <v>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3"/>
        <v>51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45695</v>
      </c>
      <c r="C21" s="38" t="s">
        <v>47</v>
      </c>
      <c r="D21" s="18">
        <v>0.95833333333333337</v>
      </c>
      <c r="E21" s="12">
        <v>53</v>
      </c>
      <c r="F21" s="12">
        <f t="shared" si="2"/>
        <v>3</v>
      </c>
      <c r="G21" s="17" t="s">
        <v>6</v>
      </c>
      <c r="H21" s="13" t="s">
        <v>14</v>
      </c>
      <c r="J21" s="5">
        <f t="shared" ref="J21:J38" si="4">A21</f>
        <v>11</v>
      </c>
      <c r="K21" s="7">
        <v>50</v>
      </c>
      <c r="L21" s="7">
        <f t="shared" si="3"/>
        <v>53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45695</v>
      </c>
      <c r="C22" s="38" t="s">
        <v>47</v>
      </c>
      <c r="D22" s="18">
        <v>0.125</v>
      </c>
      <c r="E22" s="12">
        <v>47</v>
      </c>
      <c r="F22" s="12">
        <f t="shared" si="2"/>
        <v>-3</v>
      </c>
      <c r="G22" s="17" t="s">
        <v>6</v>
      </c>
      <c r="H22" s="13" t="s">
        <v>14</v>
      </c>
      <c r="J22" s="5">
        <f t="shared" si="4"/>
        <v>12</v>
      </c>
      <c r="K22" s="7">
        <v>50</v>
      </c>
      <c r="L22" s="7">
        <f t="shared" si="3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45696</v>
      </c>
      <c r="C23" s="10" t="s">
        <v>48</v>
      </c>
      <c r="D23" s="18">
        <v>0.95833333333333337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4"/>
        <v>13</v>
      </c>
      <c r="K23" s="7">
        <v>50</v>
      </c>
      <c r="L23" s="7">
        <f t="shared" si="3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45696</v>
      </c>
      <c r="C24" s="10" t="s">
        <v>48</v>
      </c>
      <c r="D24" s="18">
        <v>0.125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4"/>
        <v>14</v>
      </c>
      <c r="K24" s="7">
        <v>50</v>
      </c>
      <c r="L24" s="7">
        <f t="shared" si="3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45697</v>
      </c>
      <c r="C25" s="10" t="s">
        <v>42</v>
      </c>
      <c r="D25" s="18">
        <v>0.95833333333333337</v>
      </c>
      <c r="E25" s="12">
        <v>55</v>
      </c>
      <c r="F25" s="12">
        <f t="shared" si="2"/>
        <v>5</v>
      </c>
      <c r="G25" s="17" t="s">
        <v>6</v>
      </c>
      <c r="H25" s="13" t="s">
        <v>14</v>
      </c>
      <c r="J25" s="5">
        <f t="shared" si="4"/>
        <v>15</v>
      </c>
      <c r="K25" s="7">
        <v>50</v>
      </c>
      <c r="L25" s="7">
        <f t="shared" si="3"/>
        <v>55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45697</v>
      </c>
      <c r="C26" s="10" t="s">
        <v>42</v>
      </c>
      <c r="D26" s="18">
        <v>0.125</v>
      </c>
      <c r="E26" s="12">
        <v>51</v>
      </c>
      <c r="F26" s="12">
        <f t="shared" si="2"/>
        <v>1</v>
      </c>
      <c r="G26" s="17" t="s">
        <v>6</v>
      </c>
      <c r="H26" s="13" t="s">
        <v>14</v>
      </c>
      <c r="J26" s="5">
        <f t="shared" si="4"/>
        <v>16</v>
      </c>
      <c r="K26" s="7">
        <v>50</v>
      </c>
      <c r="L26" s="7">
        <f t="shared" si="3"/>
        <v>51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45698</v>
      </c>
      <c r="C27" s="10" t="s">
        <v>43</v>
      </c>
      <c r="D27" s="18">
        <v>0.95833333333333337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4"/>
        <v>17</v>
      </c>
      <c r="K27" s="7">
        <v>50</v>
      </c>
      <c r="L27" s="7">
        <f t="shared" si="3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45698</v>
      </c>
      <c r="C28" s="10" t="s">
        <v>43</v>
      </c>
      <c r="D28" s="18">
        <v>0.125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4"/>
        <v>18</v>
      </c>
      <c r="K28" s="7">
        <v>50</v>
      </c>
      <c r="L28" s="7">
        <f t="shared" si="3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45699</v>
      </c>
      <c r="C29" s="10" t="s">
        <v>44</v>
      </c>
      <c r="D29" s="18">
        <v>0.95833333333333337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4"/>
        <v>19</v>
      </c>
      <c r="K29" s="7">
        <v>50</v>
      </c>
      <c r="L29" s="7">
        <f t="shared" si="3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45699</v>
      </c>
      <c r="C30" s="10" t="s">
        <v>44</v>
      </c>
      <c r="D30" s="18">
        <v>0.125</v>
      </c>
      <c r="E30" s="12">
        <v>50</v>
      </c>
      <c r="F30" s="12">
        <f t="shared" si="2"/>
        <v>0</v>
      </c>
      <c r="G30" s="17" t="s">
        <v>6</v>
      </c>
      <c r="H30" s="13" t="s">
        <v>14</v>
      </c>
      <c r="J30" s="5">
        <f t="shared" si="4"/>
        <v>20</v>
      </c>
      <c r="K30" s="7">
        <v>50</v>
      </c>
      <c r="L30" s="7">
        <f t="shared" si="3"/>
        <v>50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45700</v>
      </c>
      <c r="C31" s="10" t="s">
        <v>45</v>
      </c>
      <c r="D31" s="18">
        <v>0.95833333333333337</v>
      </c>
      <c r="E31" s="12">
        <v>57</v>
      </c>
      <c r="F31" s="12">
        <f t="shared" si="2"/>
        <v>7</v>
      </c>
      <c r="G31" s="17" t="s">
        <v>6</v>
      </c>
      <c r="H31" s="13" t="s">
        <v>14</v>
      </c>
      <c r="J31" s="5">
        <f t="shared" si="4"/>
        <v>21</v>
      </c>
      <c r="K31" s="7">
        <v>50</v>
      </c>
      <c r="L31" s="7">
        <f t="shared" si="3"/>
        <v>57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45700</v>
      </c>
      <c r="C32" s="10" t="s">
        <v>45</v>
      </c>
      <c r="D32" s="18">
        <v>0.125</v>
      </c>
      <c r="E32" s="12">
        <v>52</v>
      </c>
      <c r="F32" s="12">
        <f t="shared" si="2"/>
        <v>2</v>
      </c>
      <c r="G32" s="17" t="s">
        <v>6</v>
      </c>
      <c r="H32" s="13" t="s">
        <v>14</v>
      </c>
      <c r="J32" s="5">
        <f t="shared" si="4"/>
        <v>22</v>
      </c>
      <c r="K32" s="7">
        <v>50</v>
      </c>
      <c r="L32" s="7">
        <f t="shared" si="3"/>
        <v>52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45701</v>
      </c>
      <c r="C33" s="10" t="s">
        <v>46</v>
      </c>
      <c r="D33" s="18">
        <v>0.95833333333333337</v>
      </c>
      <c r="E33" s="12">
        <v>55</v>
      </c>
      <c r="F33" s="12">
        <f t="shared" si="2"/>
        <v>5</v>
      </c>
      <c r="G33" s="17" t="s">
        <v>6</v>
      </c>
      <c r="H33" s="13" t="s">
        <v>14</v>
      </c>
      <c r="J33" s="5">
        <f t="shared" si="4"/>
        <v>23</v>
      </c>
      <c r="K33" s="7">
        <v>50</v>
      </c>
      <c r="L33" s="7">
        <f t="shared" si="3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45701</v>
      </c>
      <c r="C34" s="10" t="s">
        <v>46</v>
      </c>
      <c r="D34" s="18">
        <v>0.125</v>
      </c>
      <c r="E34" s="12">
        <v>49</v>
      </c>
      <c r="F34" s="12">
        <f t="shared" si="2"/>
        <v>-1</v>
      </c>
      <c r="G34" s="17" t="s">
        <v>6</v>
      </c>
      <c r="H34" s="13" t="s">
        <v>14</v>
      </c>
      <c r="J34" s="5">
        <f t="shared" si="4"/>
        <v>24</v>
      </c>
      <c r="K34" s="7">
        <v>50</v>
      </c>
      <c r="L34" s="7">
        <f t="shared" si="3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45702</v>
      </c>
      <c r="C35" s="39" t="s">
        <v>47</v>
      </c>
      <c r="D35" s="18">
        <v>0.95833333333333337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4"/>
        <v>25</v>
      </c>
      <c r="K35" s="7">
        <v>50</v>
      </c>
      <c r="L35" s="7">
        <f t="shared" si="3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45702</v>
      </c>
      <c r="C36" s="39" t="s">
        <v>47</v>
      </c>
      <c r="D36" s="18">
        <v>0.125</v>
      </c>
      <c r="E36" s="12">
        <v>51</v>
      </c>
      <c r="F36" s="12">
        <f t="shared" si="2"/>
        <v>1</v>
      </c>
      <c r="G36" s="17" t="s">
        <v>6</v>
      </c>
      <c r="H36" s="13" t="s">
        <v>14</v>
      </c>
      <c r="J36" s="5">
        <f t="shared" si="4"/>
        <v>26</v>
      </c>
      <c r="K36" s="7">
        <v>50</v>
      </c>
      <c r="L36" s="7">
        <f t="shared" si="3"/>
        <v>51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45703</v>
      </c>
      <c r="C37" s="39" t="s">
        <v>48</v>
      </c>
      <c r="D37" s="18">
        <v>0.95833333333333337</v>
      </c>
      <c r="E37" s="12">
        <v>57</v>
      </c>
      <c r="F37" s="12">
        <f t="shared" ref="F37:F38" si="5">E37-$B$6</f>
        <v>7</v>
      </c>
      <c r="G37" s="17" t="s">
        <v>6</v>
      </c>
      <c r="H37" s="13" t="s">
        <v>14</v>
      </c>
      <c r="J37" s="5">
        <f t="shared" si="4"/>
        <v>27</v>
      </c>
      <c r="K37" s="7">
        <v>50</v>
      </c>
      <c r="L37" s="7">
        <f t="shared" ref="L37:L38" si="6">E37</f>
        <v>57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45703</v>
      </c>
      <c r="C38" s="39" t="s">
        <v>48</v>
      </c>
      <c r="D38" s="18">
        <v>0.125</v>
      </c>
      <c r="E38" s="12">
        <v>51</v>
      </c>
      <c r="F38" s="12">
        <f t="shared" si="5"/>
        <v>1</v>
      </c>
      <c r="G38" s="17" t="s">
        <v>6</v>
      </c>
      <c r="H38" s="13" t="s">
        <v>14</v>
      </c>
      <c r="J38" s="5">
        <f t="shared" si="4"/>
        <v>28</v>
      </c>
      <c r="K38" s="7">
        <v>50</v>
      </c>
      <c r="L38" s="7">
        <f t="shared" si="6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E39" s="12"/>
      <c r="F39" s="12"/>
      <c r="G39" s="17"/>
      <c r="H39" s="13"/>
    </row>
    <row r="40" spans="1:16" ht="20.149999999999999" customHeight="1" x14ac:dyDescent="0.45">
      <c r="A40" s="11"/>
      <c r="B40" s="10"/>
      <c r="C40" s="10"/>
      <c r="D40" s="18"/>
      <c r="E40" s="12"/>
      <c r="F40" s="12"/>
      <c r="G40" s="17"/>
      <c r="H40" s="13"/>
    </row>
    <row r="41" spans="1:16" ht="20.149999999999999" customHeight="1" x14ac:dyDescent="0.45">
      <c r="A41" s="10" t="s">
        <v>32</v>
      </c>
      <c r="B41" s="16">
        <f>AVERAGE(E11:E38)</f>
        <v>52.642857142857146</v>
      </c>
      <c r="C41" s="10" t="s">
        <v>49</v>
      </c>
      <c r="D41" s="12">
        <v>57</v>
      </c>
      <c r="E41" s="12" t="s">
        <v>33</v>
      </c>
      <c r="F41" s="12">
        <v>47</v>
      </c>
      <c r="G41" s="17" t="s">
        <v>6</v>
      </c>
      <c r="H41" s="13" t="s">
        <v>14</v>
      </c>
      <c r="K41" s="7"/>
      <c r="L41" s="7"/>
      <c r="M41" s="7"/>
      <c r="N41" s="7"/>
      <c r="O41" s="7"/>
      <c r="P41" s="7"/>
    </row>
    <row r="42" spans="1:16" ht="20.149999999999999" customHeight="1" x14ac:dyDescent="0.45">
      <c r="A42" s="11"/>
    </row>
    <row r="43" spans="1:16" ht="20.149999999999999" customHeight="1" x14ac:dyDescent="0.45"/>
    <row r="44" spans="1:16" ht="25" customHeight="1" x14ac:dyDescent="0.45">
      <c r="B44" s="14"/>
      <c r="C44" s="14"/>
      <c r="D44" s="15"/>
      <c r="E44" s="15"/>
      <c r="F44" s="15"/>
      <c r="G44" s="15"/>
      <c r="H44" s="15"/>
    </row>
    <row r="45" spans="1:16" ht="20.149999999999999" customHeight="1" x14ac:dyDescent="0.45"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13" customHeight="1" x14ac:dyDescent="0.45">
      <c r="A46" s="24" t="s">
        <v>7</v>
      </c>
      <c r="C46" s="14"/>
      <c r="D46" s="14"/>
      <c r="E46" s="14"/>
      <c r="F46" s="14"/>
      <c r="G46" s="14"/>
      <c r="H46" s="14"/>
    </row>
    <row r="47" spans="1:16" ht="45.5" customHeight="1" x14ac:dyDescent="0.45">
      <c r="A47" s="14"/>
      <c r="F47" s="9"/>
    </row>
    <row r="48" spans="1:16" x14ac:dyDescent="0.45">
      <c r="A48" s="14"/>
      <c r="D48" s="25" t="s">
        <v>0</v>
      </c>
      <c r="E48" s="25"/>
      <c r="F48" s="14"/>
      <c r="G48" s="25" t="s">
        <v>1</v>
      </c>
      <c r="H48" s="25" t="s">
        <v>2</v>
      </c>
    </row>
    <row r="49" spans="1:16" ht="15" customHeight="1" x14ac:dyDescent="0.45">
      <c r="A49" s="8" t="s">
        <v>13</v>
      </c>
    </row>
    <row r="50" spans="1:16" ht="31.5" customHeight="1" x14ac:dyDescent="0.45">
      <c r="B50" s="19"/>
    </row>
    <row r="51" spans="1:16" ht="40" customHeight="1" x14ac:dyDescent="0.45">
      <c r="C51"/>
      <c r="D51"/>
      <c r="E51"/>
      <c r="F51"/>
      <c r="G51"/>
      <c r="H51"/>
    </row>
    <row r="52" spans="1:16" ht="39.5" customHeight="1" x14ac:dyDescent="0.45">
      <c r="C52" s="19"/>
      <c r="D52" s="21"/>
      <c r="E52" s="19"/>
      <c r="F52" s="21"/>
      <c r="G52" s="22"/>
      <c r="H52" s="23"/>
    </row>
    <row r="53" spans="1:16" ht="44.5" customHeight="1" x14ac:dyDescent="0.45">
      <c r="A53"/>
    </row>
    <row r="54" spans="1:16" x14ac:dyDescent="0.45">
      <c r="A54" s="20"/>
      <c r="K54"/>
      <c r="L54"/>
      <c r="M54"/>
      <c r="N54"/>
      <c r="O54"/>
      <c r="P54"/>
    </row>
    <row r="55" spans="1:16" x14ac:dyDescent="0.45">
      <c r="K55"/>
      <c r="L55"/>
      <c r="M55"/>
      <c r="N55"/>
      <c r="O55"/>
      <c r="P55"/>
    </row>
    <row r="56" spans="1:16" customFormat="1" x14ac:dyDescent="0.45">
      <c r="A56" s="5"/>
      <c r="B56" s="5"/>
      <c r="C56" s="5"/>
      <c r="D56" s="5"/>
      <c r="E56" s="5"/>
      <c r="F56" s="5"/>
      <c r="G56" s="5"/>
      <c r="H56" s="5"/>
      <c r="K56" s="5"/>
      <c r="L56" s="5"/>
      <c r="M56" s="5"/>
      <c r="N56" s="5"/>
      <c r="O56" s="5"/>
      <c r="P56" s="5"/>
    </row>
    <row r="57" spans="1:16" customFormat="1" x14ac:dyDescent="0.45">
      <c r="A57" s="5"/>
      <c r="B57" s="5"/>
      <c r="C57" s="5"/>
      <c r="D57" s="5"/>
      <c r="E57" s="5"/>
      <c r="F57" s="5"/>
      <c r="G57" s="5"/>
      <c r="H57" s="5"/>
      <c r="K57" s="5"/>
      <c r="L57" s="5"/>
      <c r="M57" s="5"/>
      <c r="N57" s="5"/>
      <c r="O57" s="5"/>
      <c r="P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694444444444446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2026-06-16T16:29:51Z</cp:lastPrinted>
  <dcterms:created xsi:type="dcterms:W3CDTF">2019-12-19T05:48:48Z</dcterms:created>
  <dcterms:modified xsi:type="dcterms:W3CDTF">2026-06-16T16:29:55Z</dcterms:modified>
</cp:coreProperties>
</file>