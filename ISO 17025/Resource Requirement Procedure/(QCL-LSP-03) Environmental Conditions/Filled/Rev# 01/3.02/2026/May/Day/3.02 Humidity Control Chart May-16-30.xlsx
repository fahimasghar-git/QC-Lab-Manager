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4" l="1"/>
  <c r="B33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F24" i="4"/>
  <c r="L24" i="4"/>
  <c r="F23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0" i="4" l="1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<sst xmlns="http://schemas.openxmlformats.org/spreadsheetml/2006/main" count="106" uniqueCount="50">
  <si>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</si>
  <si>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</si>
  <si>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</si>
  <si>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</si>
  <si>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</si>
  <si>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</si>
  <si>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</si>
  <si>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</si>
  <si>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</si>
  <si>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</si>
  <si>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</si>
  <si>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</si>
  <si>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</si>
  <si>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</si>
  <si>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</si>
  <si>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</si>
  <si>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</si>
  <si>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</si>
  <si>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</si>
  <si>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</si>
  <si>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</si>
  <si>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</si>
  <si>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</si>
  <si>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</si>
  <si>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</si>
  <si>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</si>
  <si>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</si>
  <si>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</si>
  <si>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</si>
  <si>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</si>
  <si>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</si>
  <si>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</si>
  <si>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</si>
  <si>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</si>
  <si>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</si>
  <si>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</si>
  <si>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</si>
  <si>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</si>
  <si>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</si>
  <si>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</si>
  <si>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</si>
  <si>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</si>
  <si>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</si>
  <si>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</si>
  <si>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</si>
  <si>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</si>
  <si>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</si>
  <si>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</si>
  <si>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May-2026 (Second Half)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</si>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</sst>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MainHall!$K$11:$K$31</c:f>
              <c:numCache>
                <c:formatCode>0.0</c:formatCode>
                <c:ptCount val="2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MainHall!$L$11:$L$31</c:f>
              <c:numCache>
                <c:formatCode>0.0</c:formatCode>
                <c:ptCount val="21"/>
                <c:pt idx="0">
                  <c:v>53</c:v>
                </c:pt>
                <c:pt idx="1">
                  <c:v>46</c:v>
                </c:pt>
                <c:pt idx="2">
                  <c:v>50</c:v>
                </c:pt>
                <c:pt idx="3">
                  <c:v>47</c:v>
                </c:pt>
                <c:pt idx="4">
                  <c:v>52</c:v>
                </c:pt>
                <c:pt idx="5">
                  <c:v>48</c:v>
                </c:pt>
                <c:pt idx="6">
                  <c:v>49</c:v>
                </c:pt>
                <c:pt idx="7">
                  <c:v>45</c:v>
                </c:pt>
                <c:pt idx="8">
                  <c:v>51</c:v>
                </c:pt>
                <c:pt idx="9">
                  <c:v>46</c:v>
                </c:pt>
                <c:pt idx="10">
                  <c:v>53</c:v>
                </c:pt>
                <c:pt idx="11">
                  <c:v>47</c:v>
                </c:pt>
                <c:pt idx="12">
                  <c:v>52</c:v>
                </c:pt>
                <c:pt idx="13">
                  <c:v>50</c:v>
                </c:pt>
                <c:pt idx="14">
                  <c:v>52</c:v>
                </c:pt>
                <c:pt idx="15">
                  <c:v>45</c:v>
                </c:pt>
                <c:pt idx="16">
                  <c:v>49</c:v>
                </c:pt>
                <c:pt idx="17">
                  <c:v>46</c:v>
                </c:pt>
                <c:pt idx="18">
                  <c:v>51</c:v>
                </c:pt>
                <c:pt idx="1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MainHall!$M$11:$M$31</c:f>
              <c:numCache>
                <c:formatCode>0.0</c:formatCode>
                <c:ptCount val="2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MainHall!$N$11:$N$31</c:f>
              <c:numCache>
                <c:formatCode>0.0</c:formatCode>
                <c:ptCount val="2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MainHall!$O$11:$O$31</c:f>
              <c:numCache>
                <c:formatCode>0.0</c:formatCode>
                <c:ptCount val="2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MainHall!$P$11:$P$31</c:f>
              <c:numCache>
                <c:formatCode>0.0</c:formatCode>
                <c:ptCount val="2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tabSelected="1" view="pageLayout" topLeftCell="A14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7"/>
      <c r="B1" s="48"/>
      <c r="C1" s="59" t="s">
        <v>2</v>
      </c>
      <c r="D1" s="59"/>
      <c r="E1" s="59"/>
      <c r="F1" s="59"/>
      <c r="G1" s="31" t="s">
        <v>36</v>
      </c>
      <c r="H1" s="32" t="s">
        <v>38</v>
      </c>
    </row>
    <row r="2" spans="1:16" customFormat="1" ht="14" customHeight="1" x14ac:dyDescent="0.35">
      <c r="A2" s="49"/>
      <c r="B2" s="50"/>
      <c r="C2" s="60"/>
      <c r="D2" s="60"/>
      <c r="E2" s="60"/>
      <c r="F2" s="60"/>
      <c r="G2" s="31" t="s">
        <v>37</v>
      </c>
      <c r="H2" s="33">
        <v>45301</v>
      </c>
    </row>
    <row r="3" spans="1:16" ht="14" customHeight="1" x14ac:dyDescent="0.45">
      <c r="A3" s="51"/>
      <c r="B3" s="52"/>
      <c r="C3" s="27"/>
      <c r="D3" s="28"/>
      <c r="E3" s="28"/>
      <c r="F3" s="28"/>
      <c r="G3" s="31" t="s">
        <v>39</v>
      </c>
      <c r="H3" s="34">
        <v>1</v>
      </c>
    </row>
    <row r="4" spans="1:16" ht="14" customHeight="1" x14ac:dyDescent="0.45">
      <c r="A4" s="35" t="s">
        <v>3</v>
      </c>
      <c r="B4" s="35" t="s">
        <v>33</v>
      </c>
      <c r="C4" s="26"/>
      <c r="D4" s="26"/>
      <c r="E4" s="55" t="s">
        <v>16</v>
      </c>
      <c r="F4" s="56"/>
      <c r="G4" s="53" t="s">
        <v>48</v>
      </c>
      <c r="H4" s="54"/>
    </row>
    <row r="5" spans="1:16" ht="12.5" customHeight="1" x14ac:dyDescent="0.45">
      <c r="A5" s="35" t="s">
        <v>14</v>
      </c>
      <c r="B5" s="35" t="s">
        <v>34</v>
      </c>
      <c r="C5" s="26"/>
      <c r="D5" s="26"/>
      <c r="E5" s="55" t="s">
        <v>15</v>
      </c>
      <c r="F5" s="56"/>
      <c r="G5" s="55" t="s">
        <v>35</v>
      </c>
      <c r="H5" s="56"/>
    </row>
    <row r="6" spans="1:16" ht="14" customHeight="1" x14ac:dyDescent="0.45">
      <c r="A6" s="35" t="s">
        <v>22</v>
      </c>
      <c r="B6" s="35">
        <v>50</v>
      </c>
      <c r="C6" s="26"/>
      <c r="D6" s="26"/>
      <c r="E6" s="55" t="s">
        <v>17</v>
      </c>
      <c r="F6" s="56"/>
      <c r="G6" s="57" t="s">
        <v>47</v>
      </c>
      <c r="H6" s="58"/>
    </row>
    <row r="7" spans="1:16" ht="14.5" customHeight="1" x14ac:dyDescent="0.45">
      <c r="A7" s="35" t="s">
        <v>23</v>
      </c>
      <c r="B7" s="35">
        <v>35</v>
      </c>
      <c r="C7" s="29"/>
      <c r="D7" s="30"/>
      <c r="E7" s="61" t="s">
        <v>25</v>
      </c>
      <c r="F7" s="62"/>
      <c r="G7" s="57">
        <v>65</v>
      </c>
      <c r="H7" s="58"/>
    </row>
    <row r="8" spans="1:16" ht="14.5" customHeight="1" x14ac:dyDescent="0.45">
      <c r="A8" s="35" t="s">
        <v>24</v>
      </c>
      <c r="B8" s="35">
        <v>30</v>
      </c>
      <c r="C8" s="36"/>
      <c r="D8" s="37"/>
      <c r="E8" s="61" t="s">
        <v>26</v>
      </c>
      <c r="F8" s="62"/>
      <c r="G8" s="57">
        <v>70</v>
      </c>
      <c r="H8" s="58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46158</v>
      </c>
      <c r="C11" s="10" t="s">
        <v>46</v>
      </c>
      <c r="D11" s="18">
        <v>0.45833333333333331</v>
      </c>
      <c r="E11" s="12">
        <v>53</v>
      </c>
      <c r="F11" s="12">
        <f>E11-$B$6</f>
        <v>3</v>
      </c>
      <c r="G11" s="17" t="s">
        <v>5</v>
      </c>
      <c r="H11" s="13" t="s">
        <v>13</v>
      </c>
      <c r="J11" s="5">
        <f t="shared" ref="J11:J31" si="0">A11</f>
        <v>1</v>
      </c>
      <c r="K11" s="7">
        <v>50</v>
      </c>
      <c r="L11" s="7">
        <f t="shared" ref="L11:L30" si="1">E11</f>
        <v>53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46158</v>
      </c>
      <c r="C12" s="10" t="s">
        <v>46</v>
      </c>
      <c r="D12" s="18">
        <v>0.625</v>
      </c>
      <c r="E12" s="12">
        <v>46</v>
      </c>
      <c r="F12" s="12">
        <f t="shared" ref="F12:F30" si="2">E12-$B$6</f>
        <v>-4</v>
      </c>
      <c r="G12" s="17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46159</v>
      </c>
      <c r="C13" s="10" t="s">
        <v>40</v>
      </c>
      <c r="D13" s="18">
        <v>0.45833333333333331</v>
      </c>
      <c r="E13" s="12">
        <v>50</v>
      </c>
      <c r="F13" s="12">
        <f t="shared" si="2"/>
        <v>0</v>
      </c>
      <c r="G13" s="17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50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46159</v>
      </c>
      <c r="C14" s="10" t="s">
        <v>40</v>
      </c>
      <c r="D14" s="18">
        <v>0.625</v>
      </c>
      <c r="E14" s="12">
        <v>47</v>
      </c>
      <c r="F14" s="12">
        <f t="shared" si="2"/>
        <v>-3</v>
      </c>
      <c r="G14" s="17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46160</v>
      </c>
      <c r="C15" s="10" t="s">
        <v>41</v>
      </c>
      <c r="D15" s="18">
        <v>0.45833333333333331</v>
      </c>
      <c r="E15" s="12">
        <v>52</v>
      </c>
      <c r="F15" s="12">
        <f t="shared" si="2"/>
        <v>2</v>
      </c>
      <c r="G15" s="17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46160</v>
      </c>
      <c r="C16" s="10" t="s">
        <v>41</v>
      </c>
      <c r="D16" s="18">
        <v>0.625</v>
      </c>
      <c r="E16" s="12">
        <v>48</v>
      </c>
      <c r="F16" s="12">
        <f t="shared" si="2"/>
        <v>-2</v>
      </c>
      <c r="G16" s="17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46161</v>
      </c>
      <c r="C17" s="10" t="s">
        <v>42</v>
      </c>
      <c r="D17" s="18">
        <v>0.45833333333333331</v>
      </c>
      <c r="E17" s="12">
        <v>49</v>
      </c>
      <c r="F17" s="12">
        <f t="shared" si="2"/>
        <v>-1</v>
      </c>
      <c r="G17" s="17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49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46161</v>
      </c>
      <c r="C18" s="10" t="s">
        <v>42</v>
      </c>
      <c r="D18" s="18">
        <v>0.625</v>
      </c>
      <c r="E18" s="12">
        <v>45</v>
      </c>
      <c r="F18" s="12">
        <f t="shared" si="2"/>
        <v>-5</v>
      </c>
      <c r="G18" s="17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45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46162</v>
      </c>
      <c r="C19" s="38" t="s">
        <v>43</v>
      </c>
      <c r="D19" s="18">
        <v>0.45833333333333331</v>
      </c>
      <c r="E19" s="12">
        <v>51</v>
      </c>
      <c r="F19" s="12">
        <f t="shared" si="2"/>
        <v>1</v>
      </c>
      <c r="G19" s="17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46162</v>
      </c>
      <c r="C20" s="38" t="s">
        <v>43</v>
      </c>
      <c r="D20" s="18">
        <v>0.625</v>
      </c>
      <c r="E20" s="12">
        <v>46</v>
      </c>
      <c r="F20" s="12">
        <f t="shared" si="2"/>
        <v>-4</v>
      </c>
      <c r="G20" s="17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46163</v>
      </c>
      <c r="C21" s="10" t="s">
        <v>44</v>
      </c>
      <c r="D21" s="18">
        <v>0.45833333333333331</v>
      </c>
      <c r="E21" s="12">
        <v>53</v>
      </c>
      <c r="F21" s="12">
        <f t="shared" si="2"/>
        <v>3</v>
      </c>
      <c r="G21" s="17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46163</v>
      </c>
      <c r="C22" s="10" t="s">
        <v>44</v>
      </c>
      <c r="D22" s="18">
        <v>0.625</v>
      </c>
      <c r="E22" s="12">
        <v>47</v>
      </c>
      <c r="F22" s="12">
        <f t="shared" si="2"/>
        <v>-3</v>
      </c>
      <c r="G22" s="17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46164</v>
      </c>
      <c r="C23" s="10" t="s">
        <v>45</v>
      </c>
      <c r="D23" s="18">
        <v>0.45833333333333331</v>
      </c>
      <c r="E23" s="12">
        <v>52</v>
      </c>
      <c r="F23" s="12">
        <f t="shared" si="2"/>
        <v>2</v>
      </c>
      <c r="G23" s="17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46164</v>
      </c>
      <c r="C24" s="10" t="s">
        <v>45</v>
      </c>
      <c r="D24" s="18">
        <v>0.625</v>
      </c>
      <c r="E24" s="12">
        <v>50</v>
      </c>
      <c r="F24" s="12">
        <f t="shared" si="2"/>
        <v>0</v>
      </c>
      <c r="G24" s="17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46165</v>
      </c>
      <c r="C25" s="10" t="s">
        <v>46</v>
      </c>
      <c r="D25" s="18">
        <v>0.45833333333333331</v>
      </c>
      <c r="E25" s="12">
        <v>52</v>
      </c>
      <c r="F25" s="12">
        <f t="shared" si="2"/>
        <v>2</v>
      </c>
      <c r="G25" s="17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52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46165</v>
      </c>
      <c r="C26" s="10" t="s">
        <v>46</v>
      </c>
      <c r="D26" s="18">
        <v>0.625</v>
      </c>
      <c r="E26" s="12">
        <v>45</v>
      </c>
      <c r="F26" s="12">
        <f t="shared" si="2"/>
        <v>-5</v>
      </c>
      <c r="G26" s="17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46166</v>
      </c>
      <c r="C27" s="10" t="s">
        <v>40</v>
      </c>
      <c r="D27" s="18">
        <v>0.45833333333333331</v>
      </c>
      <c r="E27" s="12">
        <v>49</v>
      </c>
      <c r="F27" s="12">
        <f t="shared" si="2"/>
        <v>-1</v>
      </c>
      <c r="G27" s="17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49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46166</v>
      </c>
      <c r="C28" s="10" t="s">
        <v>40</v>
      </c>
      <c r="D28" s="18">
        <v>0.625</v>
      </c>
      <c r="E28" s="12">
        <v>46</v>
      </c>
      <c r="F28" s="12">
        <f t="shared" si="2"/>
        <v>-4</v>
      </c>
      <c r="G28" s="17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46167</v>
      </c>
      <c r="C29" s="10" t="s">
        <v>41</v>
      </c>
      <c r="D29" s="18">
        <v>0.45833333333333331</v>
      </c>
      <c r="E29" s="12">
        <v>51</v>
      </c>
      <c r="F29" s="12">
        <f t="shared" si="2"/>
        <v>1</v>
      </c>
      <c r="G29" s="17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51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46167</v>
      </c>
      <c r="C30" s="10" t="s">
        <v>41</v>
      </c>
      <c r="D30" s="18">
        <v>0.625</v>
      </c>
      <c r="E30" s="12">
        <v>47</v>
      </c>
      <c r="F30" s="12">
        <f t="shared" si="2"/>
        <v>-3</v>
      </c>
      <c r="G30" s="17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/>
      <c r="B31" s="10"/>
      <c r="C31" s="10"/>
      <c r="D31" s="18"/>
      <c r="E31" s="12"/>
      <c r="F31" s="12"/>
      <c r="G31" s="17"/>
      <c r="H31" s="13"/>
      <c r="J31" s="5">
        <f t="shared" si="0"/>
        <v>0</v>
      </c>
      <c r="K31" s="7">
        <v>50</v>
      </c>
      <c r="L31" s="7"/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/>
      <c r="B32" s="46"/>
      <c r="C32" s="46"/>
      <c r="D32" s="18"/>
      <c r="E32" s="46"/>
      <c r="F32" s="46"/>
      <c r="G32" s="46"/>
      <c r="H32" s="46"/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0" t="s">
        <v>31</v>
      </c>
      <c r="B33" s="16">
        <f>AVERAGE(E11:E31)</f>
        <v>48.95</v>
      </c>
      <c r="C33" s="10" t="s">
        <v>49</v>
      </c>
      <c r="D33" s="12">
        <v>53</v>
      </c>
      <c r="E33" s="12" t="s">
        <v>32</v>
      </c>
      <c r="F33" s="12">
        <v>45</v>
      </c>
      <c r="G33" s="17" t="s">
        <v>5</v>
      </c>
      <c r="H33" s="13" t="s">
        <v>13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H34" s="7"/>
      <c r="I34" s="7"/>
      <c r="J34" s="7"/>
      <c r="K34" s="7"/>
      <c r="L34" s="7"/>
      <c r="M34" s="7"/>
    </row>
    <row r="35" spans="1:16" ht="51" customHeight="1" x14ac:dyDescent="0.45">
      <c r="A35" s="24" t="s">
        <v>6</v>
      </c>
      <c r="B35" s="15"/>
      <c r="C35" s="15"/>
      <c r="D35" s="15"/>
      <c r="E35" s="15"/>
    </row>
    <row r="36" spans="1:16" ht="20.149999999999999" customHeight="1" x14ac:dyDescent="0.45">
      <c r="A36" s="14"/>
      <c r="B36" s="41"/>
      <c r="C36" s="14"/>
      <c r="D36" s="42"/>
      <c r="E36" s="14"/>
      <c r="F36" s="14"/>
      <c r="G36" s="14" t="s">
        <v>0</v>
      </c>
      <c r="H36" s="14" t="s">
        <v>1</v>
      </c>
    </row>
    <row r="37" spans="1:16" ht="13" customHeight="1" x14ac:dyDescent="0.45">
      <c r="A37" s="14"/>
      <c r="B37" s="39"/>
      <c r="C37" s="14"/>
      <c r="D37" s="42"/>
      <c r="E37" s="14"/>
      <c r="F37" s="14"/>
      <c r="G37" s="14"/>
      <c r="H37" s="14"/>
    </row>
    <row r="38" spans="1:16" ht="45.5" customHeight="1" x14ac:dyDescent="0.45">
      <c r="A38" s="8" t="s">
        <v>12</v>
      </c>
      <c r="B38" s="39"/>
      <c r="D38" s="40"/>
      <c r="F38" s="9"/>
    </row>
    <row r="39" spans="1:16" x14ac:dyDescent="0.45">
      <c r="B39" s="39"/>
      <c r="D39" s="43"/>
      <c r="E39" s="25"/>
      <c r="F39" s="14"/>
      <c r="G39" s="25" t="s">
        <v>0</v>
      </c>
      <c r="H39" s="25" t="s">
        <v>1</v>
      </c>
    </row>
    <row r="40" spans="1:16" ht="15" customHeight="1" x14ac:dyDescent="0.45">
      <c r="B40" s="39"/>
      <c r="D40" s="40"/>
    </row>
    <row r="41" spans="1:16" ht="31.5" customHeight="1" x14ac:dyDescent="0.45">
      <c r="B41" s="22"/>
      <c r="D41" s="40"/>
    </row>
    <row r="42" spans="1:16" ht="40" customHeight="1" x14ac:dyDescent="0.45">
      <c r="A42"/>
      <c r="B42" s="39"/>
      <c r="C42"/>
      <c r="D42" s="44"/>
      <c r="E42"/>
      <c r="F42"/>
      <c r="G42"/>
      <c r="H42"/>
    </row>
    <row r="43" spans="1:16" ht="39.5" customHeight="1" x14ac:dyDescent="0.45">
      <c r="A43" s="20"/>
      <c r="B43" s="39"/>
      <c r="C43" s="19"/>
      <c r="D43" s="45"/>
      <c r="E43" s="19"/>
      <c r="F43" s="21"/>
      <c r="G43" s="22"/>
      <c r="H43" s="23"/>
    </row>
    <row r="44" spans="1:16" ht="44.5" customHeight="1" x14ac:dyDescent="0.45">
      <c r="B44" s="39"/>
      <c r="D44" s="40"/>
    </row>
    <row r="45" spans="1:16" x14ac:dyDescent="0.45">
      <c r="B45" s="39"/>
      <c r="D45" s="40"/>
    </row>
    <row r="46" spans="1:16" x14ac:dyDescent="0.45">
      <c r="B46" s="39"/>
      <c r="D46" s="40"/>
    </row>
    <row r="47" spans="1:16" customFormat="1" x14ac:dyDescent="0.45">
      <c r="A47" s="5"/>
      <c r="B47" s="39"/>
      <c r="C47" s="5"/>
      <c r="D47" s="40"/>
      <c r="E47" s="5"/>
      <c r="F47" s="5"/>
      <c r="G47" s="5"/>
      <c r="H47" s="5"/>
    </row>
    <row r="48" spans="1:16" customFormat="1" x14ac:dyDescent="0.45">
      <c r="A48" s="5"/>
      <c r="B48" s="39"/>
      <c r="C48" s="5"/>
      <c r="D48" s="40"/>
      <c r="E48" s="5"/>
      <c r="F48" s="5"/>
      <c r="G48" s="5"/>
      <c r="H48" s="5"/>
    </row>
    <row r="49" spans="2:4" x14ac:dyDescent="0.45">
      <c r="B49" s="39"/>
      <c r="D49" s="40"/>
    </row>
    <row r="50" spans="2:4" x14ac:dyDescent="0.45">
      <c r="B50" s="39"/>
      <c r="D50" s="40"/>
    </row>
    <row r="51" spans="2:4" x14ac:dyDescent="0.45">
      <c r="B51" s="39"/>
      <c r="D51" s="40"/>
    </row>
    <row r="52" spans="2:4" x14ac:dyDescent="0.45">
      <c r="B52" s="39"/>
      <c r="D52" s="40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104166666666665" bottom="0.25" header="0.3" footer="0.3"/>
  <pageSetup paperSize="9" scale="7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2026-06-22T06:48:57Z</cp:lastPrinted>
  <dcterms:created xsi:type="dcterms:W3CDTF">2019-12-19T05:48:48Z</dcterms:created>
  <dcterms:modified xsi:type="dcterms:W3CDTF">2026-06-22T06:49:00Z</dcterms:modified>
</cp:coreProperties>
</file>