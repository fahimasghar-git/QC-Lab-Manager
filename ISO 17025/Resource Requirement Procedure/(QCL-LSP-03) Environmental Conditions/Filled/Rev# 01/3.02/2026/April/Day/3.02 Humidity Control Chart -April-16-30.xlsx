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6\April\Day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MainHall!$A$1:$H$51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2" i="4" l="1"/>
  <c r="F40" i="4"/>
  <c r="F39" i="4"/>
  <c r="F38" i="4"/>
  <c r="F37" i="4"/>
  <c r="F36" i="4"/>
  <c r="F35" i="4"/>
  <c r="F34" i="4"/>
  <c r="F33" i="4"/>
  <c r="F32" i="4"/>
  <c r="F31" i="4"/>
  <c r="J29" i="4" l="1"/>
  <c r="J31" i="4"/>
  <c r="J27" i="4"/>
  <c r="F30" i="4"/>
  <c r="L31" i="4"/>
  <c r="F29" i="4"/>
  <c r="L29" i="4"/>
  <c r="F27" i="4"/>
  <c r="L27" i="4"/>
  <c r="F28" i="4"/>
  <c r="F26" i="4"/>
  <c r="F25" i="4"/>
  <c r="L28" i="4" l="1"/>
  <c r="L26" i="4"/>
  <c r="L25" i="4"/>
  <c r="J28" i="4"/>
  <c r="J26" i="4"/>
  <c r="J25" i="4"/>
  <c r="J13" i="4" l="1"/>
  <c r="J14" i="4"/>
  <c r="J15" i="4"/>
  <c r="J16" i="4"/>
  <c r="J17" i="4"/>
  <c r="J18" i="4"/>
  <c r="J19" i="4"/>
  <c r="J20" i="4"/>
  <c r="J21" i="4"/>
  <c r="J22" i="4"/>
  <c r="J23" i="4"/>
  <c r="J24" i="4"/>
  <c r="F11" i="4" l="1"/>
  <c r="F24" i="4" l="1"/>
  <c r="F23" i="4"/>
  <c r="F22" i="4"/>
  <c r="F21" i="4"/>
  <c r="F20" i="4"/>
  <c r="F19" i="4"/>
  <c r="F12" i="4" l="1"/>
  <c r="F13" i="4"/>
  <c r="F14" i="4"/>
  <c r="F15" i="4"/>
  <c r="F16" i="4"/>
  <c r="F17" i="4"/>
  <c r="F18" i="4"/>
  <c r="L11" i="4" l="1"/>
  <c r="L24" i="4" l="1"/>
  <c r="L23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<sst xmlns="http://schemas.openxmlformats.org/spreadsheetml/2006/main" count="142" uniqueCount="53">
  <si>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</si>
  <si>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</si>
  <si>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</si>
  <si>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</si>
  <si>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</si>
  <si>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</si>
  <si>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</si>
  <si>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</si>
  <si>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</si>
  <si>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</si>
  <si>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</si>
  <si>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</si>
  <si>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</si>
  <si>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</si>
  <si>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</si>
  <si>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</si>
  <si>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</si>
  <si>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</si>
  <si>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</si>
  <si>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</si>
  <si>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</si>
  <si>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</si>
  <si>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</si>
  <si>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</si>
  <si>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</si>
  <si>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</si>
  <si>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</si>
  <si>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</si>
  <si>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</si>
  <si>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</si>
  <si>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</si>
  <si>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</si>
  <si>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</si>
  <si>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</si>
  <si>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</si>
  <si>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</si>
  <si>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</si>
  <si>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</si>
  <si>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</si>
  <si>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</si>
  <si>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</si>
  <si>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 xml:space="preserve">  11:00 AM</t>
  </si>
  <si>
    <t>Sunday</t>
  </si>
  <si>
    <t>Monday</t>
  </si>
  <si>
    <t>Tuesday</t>
  </si>
  <si>
    <t>Wednesday</t>
  </si>
  <si>
    <t>Friday</t>
  </si>
  <si>
    <t>Saturday</t>
  </si>
  <si>
    <t>VAN/QC/EQP-001</t>
  </si>
  <si>
    <t>Maximum Humidity</t>
  </si>
  <si>
    <t>Thrusday</t>
  </si>
  <si>
    <t>April-2026 (Second Half)</t>
  </si>
  <si>
    <t>Thursday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</si>
</sst>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8" fontId="2" fillId="0" borderId="11" xfId="0" applyNumberFormat="1" applyFont="1" applyBorder="1" applyAlignment="1">
      <alignment horizontal="center" vertical="center"/>
    </xf>
    <xf numFmtId="166" fontId="2" fillId="0" borderId="11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6" fontId="2" fillId="0" borderId="11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MainHall!$J$11:$J$24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MainHall!$K$11:$K$24</c:f>
              <c:numCache>
                <c:formatCode>0.0</c:formatCode>
                <c:ptCount val="14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MainHall!$L$11:$L$24</c:f>
              <c:numCache>
                <c:formatCode>0.0</c:formatCode>
                <c:ptCount val="14"/>
                <c:pt idx="0">
                  <c:v>47</c:v>
                </c:pt>
                <c:pt idx="1">
                  <c:v>45</c:v>
                </c:pt>
                <c:pt idx="2">
                  <c:v>46</c:v>
                </c:pt>
                <c:pt idx="3">
                  <c:v>43</c:v>
                </c:pt>
                <c:pt idx="4">
                  <c:v>43</c:v>
                </c:pt>
                <c:pt idx="5">
                  <c:v>44</c:v>
                </c:pt>
                <c:pt idx="6">
                  <c:v>46</c:v>
                </c:pt>
                <c:pt idx="7">
                  <c:v>42</c:v>
                </c:pt>
                <c:pt idx="8">
                  <c:v>47</c:v>
                </c:pt>
                <c:pt idx="9">
                  <c:v>44</c:v>
                </c:pt>
                <c:pt idx="10">
                  <c:v>45</c:v>
                </c:pt>
                <c:pt idx="11">
                  <c:v>43</c:v>
                </c:pt>
                <c:pt idx="12">
                  <c:v>48</c:v>
                </c:pt>
                <c:pt idx="13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MainHall!$M$11:$M$24</c:f>
              <c:numCache>
                <c:formatCode>0.0</c:formatCode>
                <c:ptCount val="14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MainHall!$N$11:$N$24</c:f>
              <c:numCache>
                <c:formatCode>0.0</c:formatCode>
                <c:ptCount val="14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MainHall!$O$11:$O$24</c:f>
              <c:numCache>
                <c:formatCode>0.0</c:formatCode>
                <c:ptCount val="14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MainHall!$P$11:$P$24</c:f>
              <c:numCache>
                <c:formatCode>0.0</c:formatCode>
                <c:ptCount val="14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1"/>
  <sheetViews>
    <sheetView tabSelected="1" view="pageLayout" topLeftCell="A11" zoomScaleNormal="100" zoomScaleSheetLayoutView="100" workbookViewId="0">
      <selection activeCell="E11" sqref="E11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53"/>
      <c r="B1" s="54"/>
      <c r="C1" s="47" t="s">
        <v>3</v>
      </c>
      <c r="D1" s="47"/>
      <c r="E1" s="47"/>
      <c r="F1" s="47"/>
      <c r="G1" s="31" t="s">
        <v>37</v>
      </c>
      <c r="H1" s="32" t="s">
        <v>39</v>
      </c>
    </row>
    <row r="2" spans="1:16" customFormat="1" ht="14" customHeight="1" x14ac:dyDescent="0.35">
      <c r="A2" s="55"/>
      <c r="B2" s="56"/>
      <c r="C2" s="48"/>
      <c r="D2" s="48"/>
      <c r="E2" s="48"/>
      <c r="F2" s="48"/>
      <c r="G2" s="31" t="s">
        <v>38</v>
      </c>
      <c r="H2" s="33">
        <v>45301</v>
      </c>
    </row>
    <row r="3" spans="1:16" ht="14" customHeight="1" x14ac:dyDescent="0.45">
      <c r="A3" s="57"/>
      <c r="B3" s="58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51" t="s">
        <v>17</v>
      </c>
      <c r="F4" s="52"/>
      <c r="G4" s="59" t="s">
        <v>51</v>
      </c>
      <c r="H4" s="60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51" t="s">
        <v>16</v>
      </c>
      <c r="F5" s="52"/>
      <c r="G5" s="51" t="s">
        <v>36</v>
      </c>
      <c r="H5" s="52"/>
    </row>
    <row r="6" spans="1:16" ht="14" customHeight="1" x14ac:dyDescent="0.45">
      <c r="A6" s="35" t="s">
        <v>23</v>
      </c>
      <c r="B6" s="35">
        <v>50</v>
      </c>
      <c r="C6" s="26"/>
      <c r="D6" s="26"/>
      <c r="E6" s="51" t="s">
        <v>18</v>
      </c>
      <c r="F6" s="52"/>
      <c r="G6" s="45" t="s">
        <v>48</v>
      </c>
      <c r="H6" s="46"/>
    </row>
    <row r="7" spans="1:16" ht="14.5" customHeight="1" x14ac:dyDescent="0.45">
      <c r="A7" s="35" t="s">
        <v>24</v>
      </c>
      <c r="B7" s="35">
        <v>35</v>
      </c>
      <c r="C7" s="29"/>
      <c r="D7" s="30"/>
      <c r="E7" s="49" t="s">
        <v>26</v>
      </c>
      <c r="F7" s="50"/>
      <c r="G7" s="45">
        <v>65</v>
      </c>
      <c r="H7" s="46"/>
    </row>
    <row r="8" spans="1:16" ht="14.5" customHeight="1" x14ac:dyDescent="0.45">
      <c r="A8" s="35" t="s">
        <v>25</v>
      </c>
      <c r="B8" s="35">
        <v>30</v>
      </c>
      <c r="C8" s="36"/>
      <c r="D8" s="37"/>
      <c r="E8" s="49" t="s">
        <v>27</v>
      </c>
      <c r="F8" s="50"/>
      <c r="G8" s="45">
        <v>70</v>
      </c>
      <c r="H8" s="46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46128</v>
      </c>
      <c r="C11" s="10" t="s">
        <v>50</v>
      </c>
      <c r="D11" s="18">
        <v>0.45833333333333331</v>
      </c>
      <c r="E11" s="12">
        <v>47</v>
      </c>
      <c r="F11" s="12">
        <f>E11-$B$6</f>
        <v>-3</v>
      </c>
      <c r="G11" s="17" t="s">
        <v>6</v>
      </c>
      <c r="H11" s="13" t="s">
        <v>14</v>
      </c>
      <c r="J11" s="5">
        <f t="shared" ref="J11:J26" si="0">A11</f>
        <v>1</v>
      </c>
      <c r="K11" s="7">
        <v>50</v>
      </c>
      <c r="L11" s="7">
        <f t="shared" ref="L11:L16" si="1">E11</f>
        <v>47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46128</v>
      </c>
      <c r="C12" s="10" t="s">
        <v>50</v>
      </c>
      <c r="D12" s="18">
        <v>0.625</v>
      </c>
      <c r="E12" s="12">
        <v>45</v>
      </c>
      <c r="F12" s="12">
        <f t="shared" ref="F12:F29" si="2">E12-$B$6</f>
        <v>-5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45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46129</v>
      </c>
      <c r="C13" s="39" t="s">
        <v>46</v>
      </c>
      <c r="D13" s="18">
        <v>0.45833333333333331</v>
      </c>
      <c r="E13" s="12">
        <v>46</v>
      </c>
      <c r="F13" s="12">
        <f t="shared" si="2"/>
        <v>-4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46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46129</v>
      </c>
      <c r="C14" s="39" t="s">
        <v>46</v>
      </c>
      <c r="D14" s="18">
        <v>0.625</v>
      </c>
      <c r="E14" s="12">
        <v>43</v>
      </c>
      <c r="F14" s="12">
        <f t="shared" si="2"/>
        <v>-7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43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46130</v>
      </c>
      <c r="C15" s="44" t="s">
        <v>47</v>
      </c>
      <c r="D15" s="18">
        <v>0.45833333333333331</v>
      </c>
      <c r="E15" s="12">
        <v>43</v>
      </c>
      <c r="F15" s="12">
        <f t="shared" si="2"/>
        <v>-7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43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46130</v>
      </c>
      <c r="C16" s="44" t="s">
        <v>47</v>
      </c>
      <c r="D16" s="18">
        <v>0.625</v>
      </c>
      <c r="E16" s="12">
        <v>44</v>
      </c>
      <c r="F16" s="12">
        <f t="shared" si="2"/>
        <v>-6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44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46131</v>
      </c>
      <c r="C17" s="44" t="s">
        <v>42</v>
      </c>
      <c r="D17" s="18">
        <v>0.45833333333333331</v>
      </c>
      <c r="E17" s="12">
        <v>46</v>
      </c>
      <c r="F17" s="12">
        <f t="shared" si="2"/>
        <v>-4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ref="L17:L29" si="3">E17</f>
        <v>46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46131</v>
      </c>
      <c r="C18" s="44" t="s">
        <v>42</v>
      </c>
      <c r="D18" s="18">
        <v>0.625</v>
      </c>
      <c r="E18" s="12">
        <v>42</v>
      </c>
      <c r="F18" s="12">
        <f t="shared" si="2"/>
        <v>-8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3"/>
        <v>42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46132</v>
      </c>
      <c r="C19" s="44" t="s">
        <v>43</v>
      </c>
      <c r="D19" s="18">
        <v>0.45833333333333331</v>
      </c>
      <c r="E19" s="12">
        <v>47</v>
      </c>
      <c r="F19" s="12">
        <f t="shared" si="2"/>
        <v>-3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3"/>
        <v>47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46132</v>
      </c>
      <c r="C20" s="44" t="s">
        <v>43</v>
      </c>
      <c r="D20" s="18">
        <v>0.625</v>
      </c>
      <c r="E20" s="12">
        <v>44</v>
      </c>
      <c r="F20" s="12">
        <f t="shared" si="2"/>
        <v>-6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3"/>
        <v>44</v>
      </c>
      <c r="M20" s="7">
        <v>35</v>
      </c>
      <c r="N20" s="7">
        <v>65</v>
      </c>
      <c r="O20" s="7">
        <v>30</v>
      </c>
      <c r="P20" s="7">
        <v>70</v>
      </c>
    </row>
    <row r="21" spans="1:16" ht="20.149999999999999" customHeight="1" x14ac:dyDescent="0.45">
      <c r="A21" s="11">
        <v>11</v>
      </c>
      <c r="B21" s="10">
        <v>46133</v>
      </c>
      <c r="C21" s="10" t="s">
        <v>44</v>
      </c>
      <c r="D21" s="18">
        <v>0.45833333333333331</v>
      </c>
      <c r="E21" s="12">
        <v>45</v>
      </c>
      <c r="F21" s="12">
        <f t="shared" si="2"/>
        <v>-5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3"/>
        <v>45</v>
      </c>
      <c r="M21" s="7">
        <v>35</v>
      </c>
      <c r="N21" s="7">
        <v>65</v>
      </c>
      <c r="O21" s="7">
        <v>30</v>
      </c>
      <c r="P21" s="7">
        <v>70</v>
      </c>
    </row>
    <row r="22" spans="1:16" ht="20.149999999999999" customHeight="1" x14ac:dyDescent="0.45">
      <c r="A22" s="11">
        <v>12</v>
      </c>
      <c r="B22" s="10">
        <v>46133</v>
      </c>
      <c r="C22" s="10" t="s">
        <v>44</v>
      </c>
      <c r="D22" s="18">
        <v>0.625</v>
      </c>
      <c r="E22" s="12">
        <v>43</v>
      </c>
      <c r="F22" s="12">
        <f t="shared" si="2"/>
        <v>-7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3"/>
        <v>43</v>
      </c>
      <c r="M22" s="7">
        <v>35</v>
      </c>
      <c r="N22" s="7">
        <v>65</v>
      </c>
      <c r="O22" s="7">
        <v>30</v>
      </c>
      <c r="P22" s="7">
        <v>70</v>
      </c>
    </row>
    <row r="23" spans="1:16" ht="20.149999999999999" customHeight="1" x14ac:dyDescent="0.45">
      <c r="A23" s="11">
        <v>13</v>
      </c>
      <c r="B23" s="10">
        <v>46134</v>
      </c>
      <c r="C23" s="10" t="s">
        <v>45</v>
      </c>
      <c r="D23" s="38" t="s">
        <v>41</v>
      </c>
      <c r="E23" s="12">
        <v>48</v>
      </c>
      <c r="F23" s="12">
        <f t="shared" si="2"/>
        <v>-2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3"/>
        <v>48</v>
      </c>
      <c r="M23" s="7">
        <v>35</v>
      </c>
      <c r="N23" s="7">
        <v>65</v>
      </c>
      <c r="O23" s="7">
        <v>30</v>
      </c>
      <c r="P23" s="7">
        <v>70</v>
      </c>
    </row>
    <row r="24" spans="1:16" ht="20.149999999999999" customHeight="1" x14ac:dyDescent="0.45">
      <c r="A24" s="11">
        <v>14</v>
      </c>
      <c r="B24" s="10">
        <v>46134</v>
      </c>
      <c r="C24" s="10" t="s">
        <v>45</v>
      </c>
      <c r="D24" s="40">
        <v>0.625</v>
      </c>
      <c r="E24" s="41">
        <v>43</v>
      </c>
      <c r="F24" s="41">
        <f t="shared" si="2"/>
        <v>-7</v>
      </c>
      <c r="G24" s="42" t="s">
        <v>6</v>
      </c>
      <c r="H24" s="43" t="s">
        <v>14</v>
      </c>
      <c r="J24" s="5">
        <f t="shared" si="0"/>
        <v>14</v>
      </c>
      <c r="K24" s="7">
        <v>50</v>
      </c>
      <c r="L24" s="7">
        <f t="shared" si="3"/>
        <v>43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46135</v>
      </c>
      <c r="C25" s="10" t="s">
        <v>52</v>
      </c>
      <c r="D25" s="18">
        <v>0.45833333333333331</v>
      </c>
      <c r="E25" s="44">
        <v>49</v>
      </c>
      <c r="F25" s="44">
        <f t="shared" si="2"/>
        <v>-1</v>
      </c>
      <c r="G25" s="42" t="s">
        <v>6</v>
      </c>
      <c r="H25" s="43" t="s">
        <v>14</v>
      </c>
      <c r="J25" s="5">
        <f t="shared" si="0"/>
        <v>15</v>
      </c>
      <c r="K25" s="7">
        <v>50</v>
      </c>
      <c r="L25" s="7">
        <f t="shared" si="3"/>
        <v>49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46135</v>
      </c>
      <c r="C26" s="10" t="s">
        <v>52</v>
      </c>
      <c r="D26" s="18">
        <v>0.625</v>
      </c>
      <c r="E26" s="44">
        <v>45</v>
      </c>
      <c r="F26" s="44">
        <f t="shared" si="2"/>
        <v>-5</v>
      </c>
      <c r="G26" s="42" t="s">
        <v>6</v>
      </c>
      <c r="H26" s="43" t="s">
        <v>14</v>
      </c>
      <c r="J26" s="5">
        <f t="shared" si="0"/>
        <v>16</v>
      </c>
      <c r="K26" s="7">
        <v>50</v>
      </c>
      <c r="L26" s="5">
        <f t="shared" si="3"/>
        <v>45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46136</v>
      </c>
      <c r="C27" s="10" t="s">
        <v>46</v>
      </c>
      <c r="D27" s="18">
        <v>0.45833333333333331</v>
      </c>
      <c r="E27" s="44">
        <v>44</v>
      </c>
      <c r="F27" s="44">
        <f t="shared" si="2"/>
        <v>-6</v>
      </c>
      <c r="G27" s="42" t="s">
        <v>6</v>
      </c>
      <c r="H27" s="43" t="s">
        <v>14</v>
      </c>
      <c r="J27" s="5">
        <f>A27</f>
        <v>17</v>
      </c>
      <c r="K27" s="7">
        <v>50</v>
      </c>
      <c r="L27" s="5">
        <f t="shared" si="3"/>
        <v>44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46136</v>
      </c>
      <c r="C28" s="10" t="s">
        <v>46</v>
      </c>
      <c r="D28" s="18">
        <v>0.625</v>
      </c>
      <c r="E28" s="44">
        <v>42</v>
      </c>
      <c r="F28" s="44">
        <f t="shared" si="2"/>
        <v>-8</v>
      </c>
      <c r="G28" s="42" t="s">
        <v>6</v>
      </c>
      <c r="H28" s="43" t="s">
        <v>14</v>
      </c>
      <c r="J28" s="5">
        <f>A28</f>
        <v>18</v>
      </c>
      <c r="K28" s="7">
        <v>50</v>
      </c>
      <c r="L28" s="5">
        <f t="shared" si="3"/>
        <v>42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46137</v>
      </c>
      <c r="C29" s="10" t="s">
        <v>47</v>
      </c>
      <c r="D29" s="38" t="s">
        <v>41</v>
      </c>
      <c r="E29" s="44">
        <v>45</v>
      </c>
      <c r="F29" s="44">
        <f t="shared" si="2"/>
        <v>-5</v>
      </c>
      <c r="G29" s="17" t="s">
        <v>6</v>
      </c>
      <c r="H29" s="13" t="s">
        <v>14</v>
      </c>
      <c r="J29" s="5">
        <f>A29</f>
        <v>19</v>
      </c>
      <c r="K29" s="7">
        <v>50</v>
      </c>
      <c r="L29" s="5">
        <f t="shared" si="3"/>
        <v>45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46137</v>
      </c>
      <c r="C30" s="10" t="s">
        <v>47</v>
      </c>
      <c r="D30" s="18">
        <v>0.625</v>
      </c>
      <c r="E30" s="44">
        <v>42</v>
      </c>
      <c r="F30" s="44">
        <f t="shared" ref="F30:F40" si="4">E30-$B$6</f>
        <v>-8</v>
      </c>
      <c r="G30" s="17" t="s">
        <v>6</v>
      </c>
      <c r="H30" s="13" t="s">
        <v>14</v>
      </c>
      <c r="K30" s="7"/>
      <c r="M30" s="7"/>
      <c r="N30" s="7"/>
      <c r="O30" s="7"/>
      <c r="P30" s="7"/>
    </row>
    <row r="31" spans="1:16" ht="20.149999999999999" customHeight="1" x14ac:dyDescent="0.45">
      <c r="A31" s="44">
        <v>21</v>
      </c>
      <c r="B31" s="10">
        <v>46138</v>
      </c>
      <c r="C31" s="44" t="s">
        <v>42</v>
      </c>
      <c r="D31" s="18">
        <v>0.45833333333333331</v>
      </c>
      <c r="E31" s="44">
        <v>45</v>
      </c>
      <c r="F31" s="44">
        <f t="shared" si="4"/>
        <v>-5</v>
      </c>
      <c r="G31" s="17" t="s">
        <v>6</v>
      </c>
      <c r="H31" s="13" t="s">
        <v>14</v>
      </c>
      <c r="J31" s="5">
        <f>A30</f>
        <v>20</v>
      </c>
      <c r="K31" s="7">
        <v>50</v>
      </c>
      <c r="L31" s="5">
        <f>E30</f>
        <v>42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44">
        <v>22</v>
      </c>
      <c r="B32" s="10">
        <v>46138</v>
      </c>
      <c r="C32" s="44" t="s">
        <v>42</v>
      </c>
      <c r="D32" s="18">
        <v>0.625</v>
      </c>
      <c r="E32" s="44">
        <v>41</v>
      </c>
      <c r="F32" s="44">
        <f t="shared" si="4"/>
        <v>-9</v>
      </c>
      <c r="G32" s="17" t="s">
        <v>6</v>
      </c>
      <c r="H32" s="13" t="s">
        <v>14</v>
      </c>
      <c r="K32" s="7"/>
      <c r="M32" s="7"/>
      <c r="N32" s="7"/>
      <c r="O32" s="7"/>
      <c r="P32" s="7"/>
    </row>
    <row r="33" spans="1:16" ht="20.149999999999999" customHeight="1" x14ac:dyDescent="0.45">
      <c r="A33" s="44">
        <v>23</v>
      </c>
      <c r="B33" s="10">
        <v>46139</v>
      </c>
      <c r="C33" s="44" t="s">
        <v>43</v>
      </c>
      <c r="D33" s="18">
        <v>0.45833333333333331</v>
      </c>
      <c r="E33" s="44">
        <v>46</v>
      </c>
      <c r="F33" s="44">
        <f t="shared" si="4"/>
        <v>-4</v>
      </c>
      <c r="G33" s="17" t="s">
        <v>6</v>
      </c>
      <c r="H33" s="13" t="s">
        <v>14</v>
      </c>
      <c r="K33" s="7"/>
      <c r="M33" s="7"/>
      <c r="N33" s="7"/>
      <c r="O33" s="7"/>
      <c r="P33" s="7"/>
    </row>
    <row r="34" spans="1:16" ht="20.149999999999999" customHeight="1" x14ac:dyDescent="0.45">
      <c r="A34" s="44">
        <v>24</v>
      </c>
      <c r="B34" s="10">
        <v>46139</v>
      </c>
      <c r="C34" s="44" t="s">
        <v>43</v>
      </c>
      <c r="D34" s="18">
        <v>0.625</v>
      </c>
      <c r="E34" s="44">
        <v>44</v>
      </c>
      <c r="F34" s="44">
        <f t="shared" si="4"/>
        <v>-6</v>
      </c>
      <c r="G34" s="17" t="s">
        <v>6</v>
      </c>
      <c r="H34" s="13" t="s">
        <v>14</v>
      </c>
      <c r="K34" s="7"/>
      <c r="M34" s="7"/>
      <c r="N34" s="7"/>
      <c r="O34" s="7"/>
      <c r="P34" s="7"/>
    </row>
    <row r="35" spans="1:16" ht="20.149999999999999" customHeight="1" x14ac:dyDescent="0.45">
      <c r="A35" s="44">
        <v>25</v>
      </c>
      <c r="B35" s="10">
        <v>46140</v>
      </c>
      <c r="C35" s="10" t="s">
        <v>44</v>
      </c>
      <c r="D35" s="38" t="s">
        <v>41</v>
      </c>
      <c r="E35" s="44">
        <v>43</v>
      </c>
      <c r="F35" s="44">
        <f t="shared" si="4"/>
        <v>-7</v>
      </c>
      <c r="G35" s="17" t="s">
        <v>6</v>
      </c>
      <c r="H35" s="13" t="s">
        <v>14</v>
      </c>
      <c r="K35" s="7"/>
      <c r="M35" s="7"/>
      <c r="N35" s="7"/>
      <c r="O35" s="7"/>
      <c r="P35" s="7"/>
    </row>
    <row r="36" spans="1:16" ht="20.149999999999999" customHeight="1" x14ac:dyDescent="0.45">
      <c r="A36" s="11">
        <v>26</v>
      </c>
      <c r="B36" s="10">
        <v>46140</v>
      </c>
      <c r="C36" s="10" t="s">
        <v>44</v>
      </c>
      <c r="D36" s="18">
        <v>0.625</v>
      </c>
      <c r="E36" s="44">
        <v>45</v>
      </c>
      <c r="F36" s="44">
        <f t="shared" si="4"/>
        <v>-5</v>
      </c>
      <c r="G36" s="17" t="s">
        <v>6</v>
      </c>
      <c r="H36" s="13" t="s">
        <v>14</v>
      </c>
      <c r="K36" s="7"/>
      <c r="M36" s="7"/>
      <c r="N36" s="7"/>
      <c r="O36" s="7"/>
      <c r="P36" s="7"/>
    </row>
    <row r="37" spans="1:16" ht="20.149999999999999" customHeight="1" x14ac:dyDescent="0.45">
      <c r="A37" s="11">
        <v>27</v>
      </c>
      <c r="B37" s="10">
        <v>46141</v>
      </c>
      <c r="C37" s="10" t="s">
        <v>45</v>
      </c>
      <c r="D37" s="18">
        <v>0.45833333333333331</v>
      </c>
      <c r="E37" s="44">
        <v>49</v>
      </c>
      <c r="F37" s="44">
        <f t="shared" si="4"/>
        <v>-1</v>
      </c>
      <c r="G37" s="17" t="s">
        <v>6</v>
      </c>
      <c r="H37" s="13" t="s">
        <v>14</v>
      </c>
      <c r="K37" s="7"/>
      <c r="M37" s="7"/>
      <c r="N37" s="7"/>
      <c r="O37" s="7"/>
      <c r="P37" s="7"/>
    </row>
    <row r="38" spans="1:16" ht="20.149999999999999" customHeight="1" x14ac:dyDescent="0.45">
      <c r="A38" s="11">
        <v>28</v>
      </c>
      <c r="B38" s="10">
        <v>46141</v>
      </c>
      <c r="C38" s="10" t="s">
        <v>45</v>
      </c>
      <c r="D38" s="18">
        <v>0.625</v>
      </c>
      <c r="E38" s="44">
        <v>43</v>
      </c>
      <c r="F38" s="44">
        <f t="shared" si="4"/>
        <v>-7</v>
      </c>
      <c r="G38" s="17" t="s">
        <v>6</v>
      </c>
      <c r="H38" s="13" t="s">
        <v>14</v>
      </c>
      <c r="K38" s="7"/>
      <c r="M38" s="7"/>
      <c r="N38" s="7"/>
      <c r="O38" s="7"/>
      <c r="P38" s="7"/>
    </row>
    <row r="39" spans="1:16" ht="20.149999999999999" customHeight="1" x14ac:dyDescent="0.45">
      <c r="A39" s="11">
        <v>29</v>
      </c>
      <c r="B39" s="10">
        <v>46142</v>
      </c>
      <c r="C39" s="10" t="s">
        <v>52</v>
      </c>
      <c r="D39" s="38" t="s">
        <v>41</v>
      </c>
      <c r="E39" s="44">
        <v>52</v>
      </c>
      <c r="F39" s="44">
        <f t="shared" si="4"/>
        <v>2</v>
      </c>
      <c r="G39" s="17" t="s">
        <v>6</v>
      </c>
      <c r="H39" s="13" t="s">
        <v>14</v>
      </c>
      <c r="K39" s="7"/>
      <c r="M39" s="7"/>
      <c r="N39" s="7"/>
      <c r="O39" s="7"/>
      <c r="P39" s="7"/>
    </row>
    <row r="40" spans="1:16" ht="20.149999999999999" customHeight="1" x14ac:dyDescent="0.45">
      <c r="A40" s="11">
        <v>30</v>
      </c>
      <c r="B40" s="10">
        <v>46142</v>
      </c>
      <c r="C40" s="10" t="s">
        <v>52</v>
      </c>
      <c r="D40" s="18">
        <v>0.625</v>
      </c>
      <c r="E40" s="44">
        <v>45</v>
      </c>
      <c r="F40" s="44">
        <f t="shared" si="4"/>
        <v>-5</v>
      </c>
      <c r="G40" s="17" t="s">
        <v>6</v>
      </c>
      <c r="H40" s="13" t="s">
        <v>14</v>
      </c>
      <c r="K40" s="7"/>
      <c r="M40" s="7"/>
      <c r="N40" s="7"/>
      <c r="O40" s="7"/>
      <c r="P40" s="7"/>
    </row>
    <row r="41" spans="1:16" ht="20.149999999999999" customHeight="1" x14ac:dyDescent="0.45">
      <c r="A41" s="11"/>
      <c r="B41" s="10"/>
      <c r="C41" s="10"/>
      <c r="D41" s="18"/>
      <c r="E41" s="44"/>
      <c r="F41" s="44"/>
      <c r="G41" s="17"/>
      <c r="H41" s="13"/>
      <c r="K41" s="7"/>
      <c r="M41" s="7"/>
      <c r="N41" s="7"/>
      <c r="O41" s="7"/>
      <c r="P41" s="7"/>
    </row>
    <row r="42" spans="1:16" ht="20.149999999999999" customHeight="1" x14ac:dyDescent="0.45">
      <c r="A42" s="10" t="s">
        <v>32</v>
      </c>
      <c r="B42" s="16">
        <f>AVERAGE(E11:E40)</f>
        <v>44.866666666666667</v>
      </c>
      <c r="C42" s="10" t="s">
        <v>49</v>
      </c>
      <c r="D42" s="12">
        <v>52</v>
      </c>
      <c r="E42" s="12" t="s">
        <v>33</v>
      </c>
      <c r="F42" s="12">
        <v>41</v>
      </c>
      <c r="G42" s="17" t="s">
        <v>6</v>
      </c>
      <c r="H42" s="13" t="s">
        <v>14</v>
      </c>
    </row>
    <row r="43" spans="1:16" ht="20.149999999999999" customHeight="1" x14ac:dyDescent="0.45"/>
    <row r="44" spans="1:16" ht="20.149999999999999" customHeight="1" x14ac:dyDescent="0.45"/>
    <row r="45" spans="1:16" ht="39" customHeight="1" x14ac:dyDescent="0.45">
      <c r="B45" s="14"/>
      <c r="C45" s="14"/>
      <c r="D45" s="15"/>
      <c r="E45" s="15"/>
      <c r="F45" s="15"/>
      <c r="G45" s="15"/>
      <c r="H45" s="15"/>
    </row>
    <row r="46" spans="1:16" ht="20.149999999999999" customHeight="1" x14ac:dyDescent="0.45">
      <c r="B46" s="14"/>
      <c r="C46" s="14"/>
      <c r="D46" s="14" t="s">
        <v>0</v>
      </c>
      <c r="E46" s="14"/>
      <c r="F46" s="14"/>
      <c r="G46" s="14" t="s">
        <v>1</v>
      </c>
      <c r="H46" s="14" t="s">
        <v>2</v>
      </c>
    </row>
    <row r="47" spans="1:16" ht="20.149999999999999" customHeight="1" x14ac:dyDescent="0.45">
      <c r="A47" s="24" t="s">
        <v>7</v>
      </c>
      <c r="C47" s="14"/>
      <c r="D47" s="14"/>
      <c r="E47" s="14"/>
      <c r="F47" s="14"/>
      <c r="G47" s="14"/>
      <c r="H47" s="14"/>
    </row>
    <row r="48" spans="1:16" ht="51" customHeight="1" x14ac:dyDescent="0.45">
      <c r="A48" s="14"/>
      <c r="F48" s="9"/>
    </row>
    <row r="49" spans="1:17" ht="20.149999999999999" customHeight="1" x14ac:dyDescent="0.45">
      <c r="A49" s="14"/>
      <c r="D49" s="25" t="s">
        <v>0</v>
      </c>
      <c r="E49" s="25"/>
      <c r="F49" s="14"/>
      <c r="G49" s="25" t="s">
        <v>1</v>
      </c>
      <c r="H49" s="25" t="s">
        <v>2</v>
      </c>
    </row>
    <row r="50" spans="1:17" ht="13" customHeight="1" x14ac:dyDescent="0.45">
      <c r="A50" s="8" t="s">
        <v>13</v>
      </c>
    </row>
    <row r="51" spans="1:17" ht="45.5" customHeight="1" x14ac:dyDescent="0.45">
      <c r="B51" s="19"/>
    </row>
    <row r="52" spans="1:17" x14ac:dyDescent="0.45">
      <c r="C52"/>
      <c r="D52"/>
      <c r="E52"/>
      <c r="F52"/>
      <c r="G52"/>
      <c r="H52"/>
      <c r="K52"/>
      <c r="L52"/>
      <c r="M52"/>
      <c r="N52"/>
      <c r="O52"/>
      <c r="P52"/>
    </row>
    <row r="53" spans="1:17" ht="15" customHeight="1" x14ac:dyDescent="0.45">
      <c r="C53" s="19"/>
      <c r="D53" s="21"/>
      <c r="E53" s="19"/>
      <c r="F53" s="21"/>
      <c r="G53" s="22"/>
      <c r="H53" s="23"/>
      <c r="K53"/>
      <c r="L53"/>
      <c r="M53"/>
      <c r="N53"/>
      <c r="O53"/>
      <c r="P53"/>
    </row>
    <row r="54" spans="1:17" ht="31.5" customHeight="1" x14ac:dyDescent="0.45">
      <c r="A54"/>
      <c r="I54"/>
      <c r="J54"/>
    </row>
    <row r="55" spans="1:17" ht="40" customHeight="1" x14ac:dyDescent="0.45">
      <c r="A55" s="20"/>
      <c r="I55"/>
      <c r="J55"/>
    </row>
    <row r="56" spans="1:17" ht="39.5" customHeight="1" x14ac:dyDescent="0.45"/>
    <row r="57" spans="1:17" ht="44.5" customHeight="1" x14ac:dyDescent="0.45"/>
    <row r="58" spans="1:17" x14ac:dyDescent="0.45">
      <c r="Q58"/>
    </row>
    <row r="59" spans="1:17" x14ac:dyDescent="0.45">
      <c r="Q59"/>
    </row>
    <row r="60" spans="1:17" customFormat="1" x14ac:dyDescent="0.4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 customFormat="1" x14ac:dyDescent="0.4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rintOptions horizontalCentered="1"/>
  <pageMargins left="0.45" right="0.5" top="0.5" bottom="0.25" header="0.3" footer="0.3"/>
  <pageSetup paperSize="9" scale="58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2026-06-22T06:41:32Z</cp:lastPrinted>
  <dcterms:created xsi:type="dcterms:W3CDTF">2019-12-19T05:48:48Z</dcterms:created>
  <dcterms:modified xsi:type="dcterms:W3CDTF">2026-06-22T06:41:37Z</dcterms:modified>
</cp:coreProperties>
</file>