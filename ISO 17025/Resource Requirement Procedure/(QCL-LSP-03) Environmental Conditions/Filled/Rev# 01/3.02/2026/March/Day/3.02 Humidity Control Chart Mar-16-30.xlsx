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March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4" l="1"/>
  <c r="J29" i="4"/>
  <c r="J30" i="4"/>
  <c r="J27" i="4"/>
  <c r="F30" i="4"/>
  <c r="L30" i="4"/>
  <c r="F29" i="4"/>
  <c r="L29" i="4"/>
  <c r="F27" i="4"/>
  <c r="L27" i="4"/>
  <c r="F28" i="4"/>
  <c r="F26" i="4"/>
  <c r="F25" i="4"/>
  <c r="L28" i="4" l="1"/>
  <c r="L26" i="4"/>
  <c r="L25" i="4"/>
  <c r="J28" i="4"/>
  <c r="J26" i="4"/>
  <c r="J25" i="4"/>
  <c r="J13" i="4" l="1"/>
  <c r="J14" i="4"/>
  <c r="J15" i="4"/>
  <c r="J16" i="4"/>
  <c r="J17" i="4"/>
  <c r="J18" i="4"/>
  <c r="J19" i="4"/>
  <c r="J20" i="4"/>
  <c r="J21" i="4"/>
  <c r="J22" i="4"/>
  <c r="J23" i="4"/>
  <c r="J24" i="4"/>
  <c r="F11" i="4" l="1"/>
  <c r="F24" i="4" l="1"/>
  <c r="F23" i="4"/>
  <c r="F22" i="4"/>
  <c r="F21" i="4"/>
  <c r="F20" i="4"/>
  <c r="F19" i="4"/>
  <c r="F12" i="4" l="1"/>
  <c r="F13" i="4"/>
  <c r="F14" i="4"/>
  <c r="F15" i="4"/>
  <c r="F16" i="4"/>
  <c r="F17" i="4"/>
  <c r="F18" i="4"/>
  <c r="L11" i="4" l="1"/>
  <c r="L24" i="4" l="1"/>
  <c r="L23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<sst xmlns="http://schemas.openxmlformats.org/spreadsheetml/2006/main" count="110" uniqueCount="52">
  <si>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</si>
  <si>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</si>
  <si>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</si>
  <si>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</si>
  <si>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</si>
  <si>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</si>
  <si>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</si>
  <si>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</si>
  <si>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</si>
  <si>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</si>
  <si>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</si>
  <si>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</si>
  <si>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</si>
  <si>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</si>
  <si>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</si>
  <si>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</si>
  <si>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</si>
  <si>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</si>
  <si>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</si>
  <si>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</si>
  <si>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</si>
  <si>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</si>
  <si>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</si>
  <si>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</si>
  <si>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</si>
  <si>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</si>
  <si>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</si>
  <si>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</si>
  <si>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</si>
  <si>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</si>
  <si>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</si>
  <si>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</si>
  <si>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</si>
  <si>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</si>
  <si>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</si>
  <si>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</si>
  <si>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</si>
  <si>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</si>
  <si>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</si>
  <si>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</si>
  <si>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</si>
  <si>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</si>
  <si>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</si>
  <si>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</si>
  <si>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</si>
  <si>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</si>
  <si>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Friday</t>
  </si>
  <si>
    <t>Saturday</t>
  </si>
  <si>
    <t>VAN/QC/EQP-001</t>
  </si>
  <si>
    <t>Maximum Humidity</t>
  </si>
  <si>
    <t>Thrusday</t>
  </si>
  <si>
    <t>March-2026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</si>
</sst>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2" fillId="0" borderId="11" xfId="0" applyNumberFormat="1" applyFont="1" applyBorder="1" applyAlignment="1">
      <alignment horizontal="center" vertic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166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MainHall!$J$11:$J$24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MainHall!$K$11:$K$24</c:f>
              <c:numCache>
                <c:formatCode>0.0</c:formatCode>
                <c:ptCount val="1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MainHall!$L$11:$L$24</c:f>
              <c:numCache>
                <c:formatCode>0.0</c:formatCode>
                <c:ptCount val="14"/>
                <c:pt idx="0">
                  <c:v>54</c:v>
                </c:pt>
                <c:pt idx="1">
                  <c:v>48</c:v>
                </c:pt>
                <c:pt idx="2">
                  <c:v>55</c:v>
                </c:pt>
                <c:pt idx="3">
                  <c:v>47</c:v>
                </c:pt>
                <c:pt idx="4">
                  <c:v>51</c:v>
                </c:pt>
                <c:pt idx="5">
                  <c:v>48</c:v>
                </c:pt>
                <c:pt idx="6">
                  <c:v>52</c:v>
                </c:pt>
                <c:pt idx="7">
                  <c:v>47</c:v>
                </c:pt>
                <c:pt idx="8">
                  <c:v>55</c:v>
                </c:pt>
                <c:pt idx="9">
                  <c:v>49</c:v>
                </c:pt>
                <c:pt idx="10">
                  <c:v>54</c:v>
                </c:pt>
                <c:pt idx="11">
                  <c:v>48</c:v>
                </c:pt>
                <c:pt idx="12">
                  <c:v>53</c:v>
                </c:pt>
                <c:pt idx="1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MainHall!$M$11:$M$24</c:f>
              <c:numCache>
                <c:formatCode>0.0</c:formatCode>
                <c:ptCount val="14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MainHall!$N$11:$N$24</c:f>
              <c:numCache>
                <c:formatCode>0.0</c:formatCode>
                <c:ptCount val="14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MainHall!$O$11:$O$24</c:f>
              <c:numCache>
                <c:formatCode>0.0</c:formatCode>
                <c:ptCount val="1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MainHall!$P$11:$P$24</c:f>
              <c:numCache>
                <c:formatCode>0.0</c:formatCode>
                <c:ptCount val="1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tabSelected="1" view="pageLayout" topLeftCell="A10" zoomScaleNormal="100" zoomScaleSheetLayoutView="100" workbookViewId="0">
      <selection activeCell="B11" sqref="B11:B30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4"/>
      <c r="B1" s="45"/>
      <c r="C1" s="56" t="s">
        <v>3</v>
      </c>
      <c r="D1" s="56"/>
      <c r="E1" s="56"/>
      <c r="F1" s="56"/>
      <c r="G1" s="28" t="s">
        <v>37</v>
      </c>
      <c r="H1" s="29" t="s">
        <v>39</v>
      </c>
    </row>
    <row r="2" spans="1:16" customFormat="1" ht="14" customHeight="1" x14ac:dyDescent="0.35">
      <c r="A2" s="46"/>
      <c r="B2" s="47"/>
      <c r="C2" s="57"/>
      <c r="D2" s="57"/>
      <c r="E2" s="57"/>
      <c r="F2" s="57"/>
      <c r="G2" s="28" t="s">
        <v>38</v>
      </c>
      <c r="H2" s="30">
        <v>45301</v>
      </c>
    </row>
    <row r="3" spans="1:16" ht="14" customHeight="1" x14ac:dyDescent="0.45">
      <c r="A3" s="48"/>
      <c r="B3" s="49"/>
      <c r="C3" s="26"/>
      <c r="D3" s="27"/>
      <c r="E3" s="27"/>
      <c r="F3" s="27"/>
      <c r="G3" s="28" t="s">
        <v>40</v>
      </c>
      <c r="H3" s="31">
        <v>1</v>
      </c>
    </row>
    <row r="4" spans="1:16" ht="14" customHeight="1" x14ac:dyDescent="0.45">
      <c r="A4" s="32" t="s">
        <v>4</v>
      </c>
      <c r="B4" s="32" t="s">
        <v>34</v>
      </c>
      <c r="C4" s="41"/>
      <c r="D4" s="41"/>
      <c r="E4" s="52" t="s">
        <v>17</v>
      </c>
      <c r="F4" s="53"/>
      <c r="G4" s="50" t="s">
        <v>51</v>
      </c>
      <c r="H4" s="51"/>
    </row>
    <row r="5" spans="1:16" ht="12.5" customHeight="1" x14ac:dyDescent="0.45">
      <c r="A5" s="32" t="s">
        <v>15</v>
      </c>
      <c r="B5" s="32" t="s">
        <v>35</v>
      </c>
      <c r="C5" s="41"/>
      <c r="D5" s="41"/>
      <c r="E5" s="52" t="s">
        <v>16</v>
      </c>
      <c r="F5" s="53"/>
      <c r="G5" s="52" t="s">
        <v>36</v>
      </c>
      <c r="H5" s="53"/>
    </row>
    <row r="6" spans="1:16" ht="14" customHeight="1" x14ac:dyDescent="0.45">
      <c r="A6" s="32" t="s">
        <v>23</v>
      </c>
      <c r="B6" s="32">
        <v>50</v>
      </c>
      <c r="C6" s="41"/>
      <c r="D6" s="41"/>
      <c r="E6" s="52" t="s">
        <v>18</v>
      </c>
      <c r="F6" s="53"/>
      <c r="G6" s="54" t="s">
        <v>48</v>
      </c>
      <c r="H6" s="55"/>
    </row>
    <row r="7" spans="1:16" ht="14.5" customHeight="1" x14ac:dyDescent="0.45">
      <c r="A7" s="32" t="s">
        <v>24</v>
      </c>
      <c r="B7" s="32">
        <v>35</v>
      </c>
      <c r="C7" s="42"/>
      <c r="D7" s="43"/>
      <c r="E7" s="58" t="s">
        <v>26</v>
      </c>
      <c r="F7" s="59"/>
      <c r="G7" s="54">
        <v>65</v>
      </c>
      <c r="H7" s="55"/>
    </row>
    <row r="8" spans="1:16" ht="14.5" customHeight="1" x14ac:dyDescent="0.45">
      <c r="A8" s="32" t="s">
        <v>25</v>
      </c>
      <c r="B8" s="32">
        <v>30</v>
      </c>
      <c r="C8" s="42"/>
      <c r="D8" s="43"/>
      <c r="E8" s="58" t="s">
        <v>27</v>
      </c>
      <c r="F8" s="59"/>
      <c r="G8" s="54">
        <v>70</v>
      </c>
      <c r="H8" s="55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46097</v>
      </c>
      <c r="C11" s="10" t="s">
        <v>43</v>
      </c>
      <c r="D11" s="18">
        <v>0.45833333333333331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26" si="0">A11</f>
        <v>1</v>
      </c>
      <c r="K11" s="7">
        <v>50</v>
      </c>
      <c r="L11" s="7">
        <f t="shared" ref="L11:L16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46097</v>
      </c>
      <c r="C12" s="10" t="s">
        <v>43</v>
      </c>
      <c r="D12" s="18">
        <v>0.625</v>
      </c>
      <c r="E12" s="12">
        <v>48</v>
      </c>
      <c r="F12" s="12">
        <f t="shared" ref="F12:F30" si="2">E12-$B$6</f>
        <v>-2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46098</v>
      </c>
      <c r="C13" s="10" t="s">
        <v>44</v>
      </c>
      <c r="D13" s="18">
        <v>0.45833333333333331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46098</v>
      </c>
      <c r="C14" s="10" t="s">
        <v>44</v>
      </c>
      <c r="D14" s="18">
        <v>0.625</v>
      </c>
      <c r="E14" s="12">
        <v>47</v>
      </c>
      <c r="F14" s="12">
        <f t="shared" si="2"/>
        <v>-3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47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46099</v>
      </c>
      <c r="C15" s="10" t="s">
        <v>44</v>
      </c>
      <c r="D15" s="18">
        <v>0.45833333333333331</v>
      </c>
      <c r="E15" s="12">
        <v>51</v>
      </c>
      <c r="F15" s="12">
        <f t="shared" si="2"/>
        <v>1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46099</v>
      </c>
      <c r="C16" s="10" t="s">
        <v>44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46106</v>
      </c>
      <c r="C17" s="10" t="s">
        <v>45</v>
      </c>
      <c r="D17" s="18">
        <v>0.45833333333333331</v>
      </c>
      <c r="E17" s="12">
        <v>52</v>
      </c>
      <c r="F17" s="12">
        <f t="shared" si="2"/>
        <v>2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ref="L17:L30" si="3">E17</f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46106</v>
      </c>
      <c r="C18" s="10" t="s">
        <v>45</v>
      </c>
      <c r="D18" s="18">
        <v>0.625</v>
      </c>
      <c r="E18" s="12">
        <v>47</v>
      </c>
      <c r="F18" s="12">
        <f t="shared" si="2"/>
        <v>-3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3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46107</v>
      </c>
      <c r="C19" s="10" t="s">
        <v>50</v>
      </c>
      <c r="D19" s="18">
        <v>0.45833333333333331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3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46107</v>
      </c>
      <c r="C20" s="10" t="s">
        <v>50</v>
      </c>
      <c r="D20" s="18">
        <v>0.625</v>
      </c>
      <c r="E20" s="12">
        <v>49</v>
      </c>
      <c r="F20" s="12">
        <f t="shared" si="2"/>
        <v>-1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3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0.149999999999999" customHeight="1" x14ac:dyDescent="0.45">
      <c r="A21" s="11">
        <v>11</v>
      </c>
      <c r="B21" s="10">
        <v>46108</v>
      </c>
      <c r="C21" s="34" t="s">
        <v>46</v>
      </c>
      <c r="D21" s="18">
        <v>0.45833333333333331</v>
      </c>
      <c r="E21" s="12">
        <v>54</v>
      </c>
      <c r="F21" s="12">
        <f t="shared" si="2"/>
        <v>4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3"/>
        <v>54</v>
      </c>
      <c r="M21" s="7">
        <v>35</v>
      </c>
      <c r="N21" s="7">
        <v>65</v>
      </c>
      <c r="O21" s="7">
        <v>30</v>
      </c>
      <c r="P21" s="7">
        <v>70</v>
      </c>
    </row>
    <row r="22" spans="1:16" ht="20.149999999999999" customHeight="1" x14ac:dyDescent="0.45">
      <c r="A22" s="11">
        <v>12</v>
      </c>
      <c r="B22" s="10">
        <v>46108</v>
      </c>
      <c r="C22" s="34" t="s">
        <v>46</v>
      </c>
      <c r="D22" s="18">
        <v>0.625</v>
      </c>
      <c r="E22" s="12">
        <v>48</v>
      </c>
      <c r="F22" s="12">
        <f t="shared" si="2"/>
        <v>-2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3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0.149999999999999" customHeight="1" x14ac:dyDescent="0.45">
      <c r="A23" s="11">
        <v>13</v>
      </c>
      <c r="B23" s="10">
        <v>46109</v>
      </c>
      <c r="C23" s="40" t="s">
        <v>47</v>
      </c>
      <c r="D23" s="33" t="s">
        <v>41</v>
      </c>
      <c r="E23" s="12">
        <v>53</v>
      </c>
      <c r="F23" s="12">
        <f t="shared" si="2"/>
        <v>3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3"/>
        <v>53</v>
      </c>
      <c r="M23" s="7">
        <v>35</v>
      </c>
      <c r="N23" s="7">
        <v>65</v>
      </c>
      <c r="O23" s="7">
        <v>30</v>
      </c>
      <c r="P23" s="7">
        <v>70</v>
      </c>
    </row>
    <row r="24" spans="1:16" ht="20.149999999999999" customHeight="1" x14ac:dyDescent="0.45">
      <c r="A24" s="11">
        <v>14</v>
      </c>
      <c r="B24" s="35">
        <v>46109</v>
      </c>
      <c r="C24" s="40" t="s">
        <v>47</v>
      </c>
      <c r="D24" s="36">
        <v>0.625</v>
      </c>
      <c r="E24" s="37">
        <v>50</v>
      </c>
      <c r="F24" s="37">
        <f t="shared" si="2"/>
        <v>0</v>
      </c>
      <c r="G24" s="38" t="s">
        <v>6</v>
      </c>
      <c r="H24" s="39" t="s">
        <v>14</v>
      </c>
      <c r="J24" s="5">
        <f t="shared" si="0"/>
        <v>14</v>
      </c>
      <c r="K24" s="7">
        <v>50</v>
      </c>
      <c r="L24" s="7">
        <f t="shared" si="3"/>
        <v>50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35">
        <v>46110</v>
      </c>
      <c r="C25" s="40" t="s">
        <v>42</v>
      </c>
      <c r="D25" s="18">
        <v>0.45833333333333331</v>
      </c>
      <c r="E25" s="40">
        <v>52</v>
      </c>
      <c r="F25" s="40">
        <f t="shared" si="2"/>
        <v>2</v>
      </c>
      <c r="G25" s="38" t="s">
        <v>6</v>
      </c>
      <c r="H25" s="39" t="s">
        <v>14</v>
      </c>
      <c r="J25" s="5">
        <f t="shared" si="0"/>
        <v>15</v>
      </c>
      <c r="K25" s="7">
        <v>50</v>
      </c>
      <c r="L25" s="7">
        <f t="shared" si="3"/>
        <v>52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35">
        <v>46110</v>
      </c>
      <c r="C26" s="40" t="s">
        <v>42</v>
      </c>
      <c r="D26" s="18">
        <v>0.625</v>
      </c>
      <c r="E26" s="40">
        <v>48</v>
      </c>
      <c r="F26" s="40">
        <f t="shared" si="2"/>
        <v>-2</v>
      </c>
      <c r="G26" s="38" t="s">
        <v>6</v>
      </c>
      <c r="H26" s="39" t="s">
        <v>14</v>
      </c>
      <c r="J26" s="5">
        <f t="shared" si="0"/>
        <v>16</v>
      </c>
      <c r="K26" s="7">
        <v>50</v>
      </c>
      <c r="L26" s="5">
        <f t="shared" si="3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35">
        <v>46111</v>
      </c>
      <c r="C27" s="40" t="s">
        <v>43</v>
      </c>
      <c r="D27" s="18">
        <v>0.45833333333333331</v>
      </c>
      <c r="E27" s="40">
        <v>53</v>
      </c>
      <c r="F27" s="40">
        <f t="shared" si="2"/>
        <v>3</v>
      </c>
      <c r="G27" s="38" t="s">
        <v>6</v>
      </c>
      <c r="H27" s="39" t="s">
        <v>14</v>
      </c>
      <c r="J27" s="5">
        <f>A27</f>
        <v>17</v>
      </c>
      <c r="K27" s="7">
        <v>50</v>
      </c>
      <c r="L27" s="5">
        <f t="shared" si="3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35">
        <v>46111</v>
      </c>
      <c r="C28" s="40" t="s">
        <v>43</v>
      </c>
      <c r="D28" s="18">
        <v>0.625</v>
      </c>
      <c r="E28" s="40">
        <v>50</v>
      </c>
      <c r="F28" s="40">
        <f t="shared" si="2"/>
        <v>0</v>
      </c>
      <c r="G28" s="38" t="s">
        <v>6</v>
      </c>
      <c r="H28" s="39" t="s">
        <v>14</v>
      </c>
      <c r="J28" s="5">
        <f>A28</f>
        <v>18</v>
      </c>
      <c r="K28" s="7">
        <v>50</v>
      </c>
      <c r="L28" s="5">
        <f t="shared" si="3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35">
        <v>46112</v>
      </c>
      <c r="C29" s="34" t="s">
        <v>44</v>
      </c>
      <c r="D29" s="33" t="s">
        <v>41</v>
      </c>
      <c r="E29" s="40">
        <v>51</v>
      </c>
      <c r="F29" s="40">
        <f t="shared" si="2"/>
        <v>1</v>
      </c>
      <c r="G29" s="38" t="s">
        <v>6</v>
      </c>
      <c r="H29" s="39" t="s">
        <v>14</v>
      </c>
      <c r="J29" s="5">
        <f t="shared" ref="J29:J30" si="4">A29</f>
        <v>19</v>
      </c>
      <c r="K29" s="7">
        <v>50</v>
      </c>
      <c r="L29" s="5">
        <f t="shared" si="3"/>
        <v>51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35">
        <v>46112</v>
      </c>
      <c r="C30" s="34" t="s">
        <v>44</v>
      </c>
      <c r="D30" s="36">
        <v>0.625</v>
      </c>
      <c r="E30" s="40">
        <v>46</v>
      </c>
      <c r="F30" s="40">
        <f t="shared" si="2"/>
        <v>-4</v>
      </c>
      <c r="G30" s="38" t="s">
        <v>6</v>
      </c>
      <c r="H30" s="39" t="s">
        <v>14</v>
      </c>
      <c r="J30" s="5">
        <f t="shared" si="4"/>
        <v>20</v>
      </c>
      <c r="K30" s="7">
        <v>50</v>
      </c>
      <c r="L30" s="5">
        <f t="shared" si="3"/>
        <v>46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/>
      <c r="B31" s="35"/>
      <c r="C31" s="40"/>
      <c r="D31" s="36"/>
      <c r="E31" s="40"/>
      <c r="F31" s="40"/>
      <c r="G31" s="38"/>
      <c r="H31" s="39"/>
      <c r="K31" s="7"/>
      <c r="M31" s="7"/>
      <c r="N31" s="7"/>
      <c r="O31" s="7"/>
      <c r="P31" s="7"/>
    </row>
    <row r="32" spans="1:16" ht="20.149999999999999" customHeight="1" x14ac:dyDescent="0.45">
      <c r="A32" s="10" t="s">
        <v>32</v>
      </c>
      <c r="B32" s="16">
        <f>AVERAGE(E11:E30)</f>
        <v>50.55</v>
      </c>
      <c r="C32" s="10" t="s">
        <v>49</v>
      </c>
      <c r="D32" s="12">
        <v>55</v>
      </c>
      <c r="E32" s="12" t="s">
        <v>33</v>
      </c>
      <c r="F32" s="12">
        <v>46</v>
      </c>
      <c r="G32" s="17" t="s">
        <v>6</v>
      </c>
      <c r="H32" s="13" t="s">
        <v>14</v>
      </c>
    </row>
    <row r="33" spans="1:17" ht="20.149999999999999" customHeight="1" x14ac:dyDescent="0.45"/>
    <row r="34" spans="1:17" ht="20.149999999999999" customHeight="1" x14ac:dyDescent="0.45"/>
    <row r="35" spans="1:17" ht="39" customHeight="1" x14ac:dyDescent="0.45">
      <c r="B35" s="14"/>
      <c r="C35" s="14"/>
      <c r="D35" s="15"/>
      <c r="E35" s="15"/>
      <c r="F35" s="15"/>
      <c r="G35" s="15"/>
      <c r="H35" s="15"/>
    </row>
    <row r="36" spans="1:17" ht="20.149999999999999" customHeight="1" x14ac:dyDescent="0.45">
      <c r="B36" s="14"/>
      <c r="C36" s="14"/>
      <c r="D36" s="14" t="s">
        <v>0</v>
      </c>
      <c r="E36" s="14"/>
      <c r="F36" s="14"/>
      <c r="G36" s="14" t="s">
        <v>1</v>
      </c>
      <c r="H36" s="14" t="s">
        <v>2</v>
      </c>
    </row>
    <row r="37" spans="1:17" ht="20.149999999999999" customHeight="1" x14ac:dyDescent="0.45">
      <c r="A37" s="24" t="s">
        <v>7</v>
      </c>
      <c r="C37" s="14"/>
      <c r="D37" s="14"/>
      <c r="E37" s="14"/>
      <c r="F37" s="14"/>
      <c r="G37" s="14"/>
      <c r="H37" s="14"/>
    </row>
    <row r="38" spans="1:17" ht="51" customHeight="1" x14ac:dyDescent="0.45">
      <c r="A38" s="14"/>
      <c r="F38" s="9"/>
    </row>
    <row r="39" spans="1:17" ht="20.149999999999999" customHeight="1" x14ac:dyDescent="0.45">
      <c r="A39" s="14"/>
      <c r="D39" s="25" t="s">
        <v>0</v>
      </c>
      <c r="E39" s="25"/>
      <c r="F39" s="14"/>
      <c r="G39" s="25" t="s">
        <v>1</v>
      </c>
      <c r="H39" s="25" t="s">
        <v>2</v>
      </c>
    </row>
    <row r="40" spans="1:17" ht="13" customHeight="1" x14ac:dyDescent="0.45">
      <c r="A40" s="8" t="s">
        <v>13</v>
      </c>
    </row>
    <row r="41" spans="1:17" ht="45.5" customHeight="1" x14ac:dyDescent="0.45">
      <c r="B41" s="19"/>
    </row>
    <row r="42" spans="1:17" x14ac:dyDescent="0.45">
      <c r="C42"/>
      <c r="D42"/>
      <c r="E42"/>
      <c r="F42"/>
      <c r="G42"/>
      <c r="H42"/>
      <c r="K42"/>
      <c r="L42"/>
      <c r="M42"/>
      <c r="N42"/>
      <c r="O42"/>
      <c r="P42"/>
    </row>
    <row r="43" spans="1:17" ht="15" customHeight="1" x14ac:dyDescent="0.45">
      <c r="C43" s="19"/>
      <c r="D43" s="21"/>
      <c r="E43" s="19"/>
      <c r="F43" s="21"/>
      <c r="G43" s="22"/>
      <c r="H43" s="23"/>
      <c r="K43"/>
      <c r="L43"/>
      <c r="M43"/>
      <c r="N43"/>
      <c r="O43"/>
      <c r="P43"/>
    </row>
    <row r="44" spans="1:17" ht="31.5" customHeight="1" x14ac:dyDescent="0.45">
      <c r="A44"/>
      <c r="I44"/>
      <c r="J44"/>
    </row>
    <row r="45" spans="1:17" ht="40" customHeight="1" x14ac:dyDescent="0.45">
      <c r="A45" s="20"/>
      <c r="I45"/>
      <c r="J45"/>
    </row>
    <row r="46" spans="1:17" ht="39.5" customHeight="1" x14ac:dyDescent="0.45"/>
    <row r="47" spans="1:17" ht="44.5" customHeight="1" x14ac:dyDescent="0.45"/>
    <row r="48" spans="1:17" x14ac:dyDescent="0.45">
      <c r="Q48"/>
    </row>
    <row r="49" spans="1:17" x14ac:dyDescent="0.45">
      <c r="Q49"/>
    </row>
    <row r="50" spans="1:17" customFormat="1" x14ac:dyDescent="0.4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customFormat="1" x14ac:dyDescent="0.4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5" bottom="0.25" header="0.3" footer="0.3"/>
  <pageSetup paperSize="9" scale="68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2026-06-22T06:28:41Z</cp:lastPrinted>
  <dcterms:created xsi:type="dcterms:W3CDTF">2019-12-19T05:48:48Z</dcterms:created>
  <dcterms:modified xsi:type="dcterms:W3CDTF">2026-06-22T06:28:45Z</dcterms:modified>
</cp:coreProperties>
</file>