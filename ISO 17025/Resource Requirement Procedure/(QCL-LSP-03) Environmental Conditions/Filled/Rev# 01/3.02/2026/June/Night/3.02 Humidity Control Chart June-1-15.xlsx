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une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4" l="1"/>
  <c r="J34" i="4"/>
  <c r="J35" i="4"/>
  <c r="J36" i="4"/>
  <c r="J37" i="4"/>
  <c r="J38" i="4"/>
  <c r="J39" i="4"/>
  <c r="J40" i="4"/>
  <c r="B41" i="4"/>
  <c r="F40" i="4"/>
  <c r="L40" i="4"/>
  <c r="F39" i="4"/>
  <c r="L39" i="4"/>
  <c r="F38" i="4"/>
  <c r="L38" i="4"/>
  <c r="F37" i="4"/>
  <c r="L37" i="4"/>
  <c r="F36" i="4"/>
  <c r="L36" i="4"/>
  <c r="F35" i="4"/>
  <c r="L35" i="4"/>
  <c r="F34" i="4"/>
  <c r="L34" i="4"/>
  <c r="F33" i="4"/>
  <c r="L33" i="4"/>
  <c r="J32" i="4" l="1"/>
  <c r="F32" i="4"/>
  <c r="L32" i="4"/>
  <c r="F12" i="4"/>
  <c r="F1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F24" i="4"/>
  <c r="L24" i="4"/>
  <c r="F23" i="4"/>
  <c r="L23" i="4"/>
  <c r="F31" i="4" l="1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1" i="4" l="1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<sst xmlns="http://schemas.openxmlformats.org/spreadsheetml/2006/main" count="136" uniqueCount="51">
  <si>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</si>
  <si>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</si>
  <si>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</si>
  <si>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</si>
  <si>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</si>
  <si>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</si>
  <si>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</si>
  <si>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</si>
  <si>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</si>
  <si>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</si>
  <si>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</si>
  <si>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</si>
  <si>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</si>
  <si>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</si>
  <si>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</si>
  <si>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</si>
  <si>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</si>
  <si>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</si>
  <si>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</si>
  <si>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</si>
  <si>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</si>
  <si>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</si>
  <si>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</si>
  <si>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</si>
  <si>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</si>
  <si>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</si>
  <si>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</si>
  <si>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</si>
  <si>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</si>
  <si>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</si>
  <si>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</si>
  <si>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</si>
  <si>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</si>
  <si>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</si>
  <si>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</si>
  <si>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</si>
  <si>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</si>
  <si>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</si>
  <si>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</si>
  <si>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</si>
  <si>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</si>
  <si>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</si>
  <si>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</si>
  <si>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</si>
  <si>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</si>
  <si>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</si>
  <si>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</si>
  <si>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</si>
  <si>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</si>
  <si>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</si>
  <si>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June-2026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</si>
</sst>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MainHall!$J$11:$J$47</c:f>
              <c:numCache>
                <c:formatCode>General</c:formatCode>
                <c:ptCount val="37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MainHall!$K$11:$K$47</c:f>
              <c:numCache>
                <c:formatCode>0.0</c:formatCode>
                <c:ptCount val="37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MainHall!$L$11:$L$47</c:f>
              <c:numCache>
                <c:formatCode>0.0</c:formatCode>
                <c:ptCount val="37"/>
                <c:pt idx="2">
                  <c:v>48</c:v>
                </c:pt>
                <c:pt idx="3">
                  <c:v>46</c:v>
                </c:pt>
                <c:pt idx="4">
                  <c:v>47</c:v>
                </c:pt>
                <c:pt idx="5">
                  <c:v>52</c:v>
                </c:pt>
                <c:pt idx="6">
                  <c:v>48</c:v>
                </c:pt>
                <c:pt idx="7">
                  <c:v>45</c:v>
                </c:pt>
                <c:pt idx="8">
                  <c:v>48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45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49</c:v>
                </c:pt>
                <c:pt idx="18">
                  <c:v>47</c:v>
                </c:pt>
                <c:pt idx="19">
                  <c:v>49</c:v>
                </c:pt>
                <c:pt idx="20">
                  <c:v>50</c:v>
                </c:pt>
                <c:pt idx="21">
                  <c:v>52</c:v>
                </c:pt>
                <c:pt idx="22" formatCode="General">
                  <c:v>48</c:v>
                </c:pt>
                <c:pt idx="23" formatCode="General">
                  <c:v>49</c:v>
                </c:pt>
                <c:pt idx="24" formatCode="General">
                  <c:v>48</c:v>
                </c:pt>
                <c:pt idx="25" formatCode="General">
                  <c:v>47</c:v>
                </c:pt>
                <c:pt idx="26" formatCode="General">
                  <c:v>46</c:v>
                </c:pt>
                <c:pt idx="27" formatCode="General">
                  <c:v>49</c:v>
                </c:pt>
                <c:pt idx="28" formatCode="General">
                  <c:v>48</c:v>
                </c:pt>
                <c:pt idx="29" formatCode="General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MainHall!$M$11:$M$47</c:f>
              <c:numCache>
                <c:formatCode>0.0</c:formatCode>
                <c:ptCount val="3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MainHall!$N$11:$N$47</c:f>
              <c:numCache>
                <c:formatCode>0.0</c:formatCode>
                <c:ptCount val="37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MainHall!$O$11:$O$47</c:f>
              <c:numCache>
                <c:formatCode>0.0</c:formatCode>
                <c:ptCount val="37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MainHall!$P$11:$P$47</c:f>
              <c:numCache>
                <c:formatCode>0.0</c:formatCode>
                <c:ptCount val="37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4"/>
  <sheetViews>
    <sheetView tabSelected="1" view="pageLayout" topLeftCell="A32" zoomScaleNormal="100" zoomScaleSheetLayoutView="100" workbookViewId="0">
      <selection activeCell="D39" sqref="D39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0"/>
      <c r="B1" s="41"/>
      <c r="C1" s="52" t="s">
        <v>3</v>
      </c>
      <c r="D1" s="52"/>
      <c r="E1" s="52"/>
      <c r="F1" s="52"/>
      <c r="G1" s="31" t="s">
        <v>37</v>
      </c>
      <c r="H1" s="32" t="s">
        <v>39</v>
      </c>
    </row>
    <row r="2" spans="1:16" customFormat="1" ht="14" customHeight="1" x14ac:dyDescent="0.35">
      <c r="A2" s="42"/>
      <c r="B2" s="43"/>
      <c r="C2" s="53"/>
      <c r="D2" s="53"/>
      <c r="E2" s="53"/>
      <c r="F2" s="53"/>
      <c r="G2" s="31" t="s">
        <v>38</v>
      </c>
      <c r="H2" s="33">
        <v>45301</v>
      </c>
    </row>
    <row r="3" spans="1:16" ht="14" customHeight="1" x14ac:dyDescent="0.45">
      <c r="A3" s="44"/>
      <c r="B3" s="4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46" t="s">
        <v>50</v>
      </c>
      <c r="H4" s="4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50" t="s">
        <v>48</v>
      </c>
      <c r="H6" s="51"/>
    </row>
    <row r="7" spans="1:16" ht="14.5" customHeight="1" x14ac:dyDescent="0.45">
      <c r="A7" s="35" t="s">
        <v>24</v>
      </c>
      <c r="B7" s="35">
        <v>35</v>
      </c>
      <c r="C7" s="29"/>
      <c r="D7" s="30"/>
      <c r="E7" s="54" t="s">
        <v>26</v>
      </c>
      <c r="F7" s="55"/>
      <c r="G7" s="50">
        <v>65</v>
      </c>
      <c r="H7" s="51"/>
    </row>
    <row r="8" spans="1:16" ht="14.5" customHeight="1" x14ac:dyDescent="0.45">
      <c r="A8" s="35" t="s">
        <v>25</v>
      </c>
      <c r="B8" s="35">
        <v>30</v>
      </c>
      <c r="C8" s="36"/>
      <c r="D8" s="37"/>
      <c r="E8" s="54" t="s">
        <v>27</v>
      </c>
      <c r="F8" s="55"/>
      <c r="G8" s="50">
        <v>70</v>
      </c>
      <c r="H8" s="5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46174</v>
      </c>
      <c r="C11" s="10" t="s">
        <v>42</v>
      </c>
      <c r="D11" s="18">
        <v>0.95833333333333337</v>
      </c>
      <c r="E11" s="12">
        <v>46</v>
      </c>
      <c r="F11" s="12">
        <f t="shared" ref="F11:F12" si="0">E11-$B$6</f>
        <v>-4</v>
      </c>
      <c r="G11" s="17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46174</v>
      </c>
      <c r="C12" s="10" t="s">
        <v>42</v>
      </c>
      <c r="D12" s="18">
        <v>0.125</v>
      </c>
      <c r="E12" s="12">
        <v>46</v>
      </c>
      <c r="F12" s="12">
        <f t="shared" si="0"/>
        <v>-4</v>
      </c>
      <c r="G12" s="17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46175</v>
      </c>
      <c r="C13" s="10" t="s">
        <v>43</v>
      </c>
      <c r="D13" s="18">
        <v>0.95833333333333337</v>
      </c>
      <c r="E13" s="12">
        <v>48</v>
      </c>
      <c r="F13" s="12">
        <f t="shared" ref="F13:F40" si="1">E13-$B$6</f>
        <v>-2</v>
      </c>
      <c r="G13" s="17" t="s">
        <v>6</v>
      </c>
      <c r="H13" s="13" t="s">
        <v>14</v>
      </c>
      <c r="J13" s="5">
        <f t="shared" ref="J13:J40" si="2">A13</f>
        <v>3</v>
      </c>
      <c r="K13" s="7">
        <v>50</v>
      </c>
      <c r="L13" s="7">
        <f t="shared" ref="L13:L40" si="3">E13</f>
        <v>48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46175</v>
      </c>
      <c r="C14" s="10" t="s">
        <v>43</v>
      </c>
      <c r="D14" s="18">
        <v>0.125</v>
      </c>
      <c r="E14" s="12">
        <v>46</v>
      </c>
      <c r="F14" s="12">
        <f t="shared" si="1"/>
        <v>-4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46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46176</v>
      </c>
      <c r="C15" s="10" t="s">
        <v>44</v>
      </c>
      <c r="D15" s="18">
        <v>0.95833333333333337</v>
      </c>
      <c r="E15" s="12">
        <v>47</v>
      </c>
      <c r="F15" s="12">
        <f t="shared" si="1"/>
        <v>-3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47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46176</v>
      </c>
      <c r="C16" s="10" t="s">
        <v>44</v>
      </c>
      <c r="D16" s="18">
        <v>0.125</v>
      </c>
      <c r="E16" s="12">
        <v>52</v>
      </c>
      <c r="F16" s="12">
        <f t="shared" si="1"/>
        <v>2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52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46177</v>
      </c>
      <c r="C17" s="38" t="s">
        <v>45</v>
      </c>
      <c r="D17" s="18">
        <v>0.95833333333333337</v>
      </c>
      <c r="E17" s="12">
        <v>48</v>
      </c>
      <c r="F17" s="12">
        <f t="shared" si="1"/>
        <v>-2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48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46177</v>
      </c>
      <c r="C18" s="38" t="s">
        <v>45</v>
      </c>
      <c r="D18" s="18">
        <v>0.125</v>
      </c>
      <c r="E18" s="12">
        <v>45</v>
      </c>
      <c r="F18" s="12">
        <f t="shared" si="1"/>
        <v>-5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45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46178</v>
      </c>
      <c r="C19" s="10" t="s">
        <v>46</v>
      </c>
      <c r="D19" s="18">
        <v>0.95833333333333337</v>
      </c>
      <c r="E19" s="12">
        <v>48</v>
      </c>
      <c r="F19" s="12">
        <f t="shared" si="1"/>
        <v>-2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48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46178</v>
      </c>
      <c r="C20" s="10" t="s">
        <v>46</v>
      </c>
      <c r="D20" s="18">
        <v>0.125</v>
      </c>
      <c r="E20" s="12">
        <v>49</v>
      </c>
      <c r="F20" s="12">
        <f t="shared" si="1"/>
        <v>-1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46179</v>
      </c>
      <c r="C21" s="10" t="s">
        <v>47</v>
      </c>
      <c r="D21" s="18">
        <v>0.95833333333333337</v>
      </c>
      <c r="E21" s="12">
        <v>49</v>
      </c>
      <c r="F21" s="12">
        <f t="shared" si="1"/>
        <v>-1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49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46179</v>
      </c>
      <c r="C22" s="10" t="s">
        <v>47</v>
      </c>
      <c r="D22" s="18">
        <v>0.125</v>
      </c>
      <c r="E22" s="12">
        <v>49</v>
      </c>
      <c r="F22" s="12">
        <f t="shared" si="1"/>
        <v>-1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46180</v>
      </c>
      <c r="C23" s="39" t="s">
        <v>41</v>
      </c>
      <c r="D23" s="18">
        <v>0.95833333333333337</v>
      </c>
      <c r="E23" s="12">
        <v>45</v>
      </c>
      <c r="F23" s="12">
        <f t="shared" si="1"/>
        <v>-5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45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46180</v>
      </c>
      <c r="C24" s="39" t="s">
        <v>41</v>
      </c>
      <c r="D24" s="18">
        <v>0.125</v>
      </c>
      <c r="E24" s="12">
        <v>47</v>
      </c>
      <c r="F24" s="12">
        <f t="shared" si="1"/>
        <v>-3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47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46181</v>
      </c>
      <c r="C25" s="10" t="s">
        <v>42</v>
      </c>
      <c r="D25" s="18">
        <v>0.95833333333333337</v>
      </c>
      <c r="E25" s="12">
        <v>48</v>
      </c>
      <c r="F25" s="12">
        <f t="shared" si="1"/>
        <v>-2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48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46181</v>
      </c>
      <c r="C26" s="10" t="s">
        <v>42</v>
      </c>
      <c r="D26" s="18">
        <v>0.125</v>
      </c>
      <c r="E26" s="12">
        <v>48</v>
      </c>
      <c r="F26" s="12">
        <f t="shared" si="1"/>
        <v>-2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46182</v>
      </c>
      <c r="C27" s="10" t="s">
        <v>43</v>
      </c>
      <c r="D27" s="18">
        <v>0.95833333333333337</v>
      </c>
      <c r="E27" s="12">
        <v>48</v>
      </c>
      <c r="F27" s="12">
        <f t="shared" si="1"/>
        <v>-2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48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46182</v>
      </c>
      <c r="C28" s="10" t="s">
        <v>43</v>
      </c>
      <c r="D28" s="18">
        <v>0.125</v>
      </c>
      <c r="E28" s="12">
        <v>49</v>
      </c>
      <c r="F28" s="12">
        <f t="shared" si="1"/>
        <v>-1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49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46183</v>
      </c>
      <c r="C29" s="10" t="s">
        <v>44</v>
      </c>
      <c r="D29" s="18">
        <v>0.95833333333333337</v>
      </c>
      <c r="E29" s="12">
        <v>47</v>
      </c>
      <c r="F29" s="12">
        <f t="shared" si="1"/>
        <v>-3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47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46183</v>
      </c>
      <c r="C30" s="10" t="s">
        <v>44</v>
      </c>
      <c r="D30" s="18">
        <v>0.125</v>
      </c>
      <c r="E30" s="12">
        <v>49</v>
      </c>
      <c r="F30" s="12">
        <f t="shared" si="1"/>
        <v>-1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46184</v>
      </c>
      <c r="C31" s="38" t="s">
        <v>45</v>
      </c>
      <c r="D31" s="18">
        <v>0.95833333333333337</v>
      </c>
      <c r="E31" s="12">
        <v>50</v>
      </c>
      <c r="F31" s="12">
        <f t="shared" si="1"/>
        <v>0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46184</v>
      </c>
      <c r="C32" s="38" t="s">
        <v>45</v>
      </c>
      <c r="D32" s="18">
        <v>0.125</v>
      </c>
      <c r="E32" s="12">
        <v>52</v>
      </c>
      <c r="F32" s="12">
        <f t="shared" si="1"/>
        <v>2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52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46185</v>
      </c>
      <c r="C33" s="10" t="s">
        <v>46</v>
      </c>
      <c r="D33" s="18">
        <v>0.95833333333333337</v>
      </c>
      <c r="E33" s="12">
        <v>48</v>
      </c>
      <c r="F33" s="12">
        <f t="shared" si="1"/>
        <v>-2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5">
        <f t="shared" si="3"/>
        <v>48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46185</v>
      </c>
      <c r="C34" s="10" t="s">
        <v>46</v>
      </c>
      <c r="D34" s="18">
        <v>0.125</v>
      </c>
      <c r="E34" s="12">
        <v>49</v>
      </c>
      <c r="F34" s="12">
        <f t="shared" si="1"/>
        <v>-1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5">
        <f t="shared" si="3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46186</v>
      </c>
      <c r="C35" s="10" t="s">
        <v>47</v>
      </c>
      <c r="D35" s="18">
        <v>0.95833333333333337</v>
      </c>
      <c r="E35" s="12">
        <v>48</v>
      </c>
      <c r="F35" s="12">
        <f t="shared" si="1"/>
        <v>-2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5">
        <f t="shared" si="3"/>
        <v>48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46186</v>
      </c>
      <c r="C36" s="10" t="s">
        <v>47</v>
      </c>
      <c r="D36" s="18">
        <v>0.125</v>
      </c>
      <c r="E36" s="12">
        <v>47</v>
      </c>
      <c r="F36" s="12">
        <f t="shared" si="1"/>
        <v>-3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5">
        <f t="shared" si="3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46187</v>
      </c>
      <c r="C37" s="39" t="s">
        <v>41</v>
      </c>
      <c r="D37" s="18">
        <v>0.95833333333333337</v>
      </c>
      <c r="E37" s="12">
        <v>46</v>
      </c>
      <c r="F37" s="12">
        <f t="shared" si="1"/>
        <v>-4</v>
      </c>
      <c r="G37" s="17" t="s">
        <v>6</v>
      </c>
      <c r="H37" s="13" t="s">
        <v>14</v>
      </c>
      <c r="J37" s="5">
        <f t="shared" si="2"/>
        <v>27</v>
      </c>
      <c r="K37" s="7">
        <v>50</v>
      </c>
      <c r="L37" s="5">
        <f t="shared" si="3"/>
        <v>46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46187</v>
      </c>
      <c r="C38" s="39" t="s">
        <v>41</v>
      </c>
      <c r="D38" s="18">
        <v>0.125</v>
      </c>
      <c r="E38" s="12">
        <v>49</v>
      </c>
      <c r="F38" s="12">
        <f t="shared" si="1"/>
        <v>-1</v>
      </c>
      <c r="G38" s="17" t="s">
        <v>6</v>
      </c>
      <c r="H38" s="13" t="s">
        <v>14</v>
      </c>
      <c r="J38" s="5">
        <f t="shared" si="2"/>
        <v>28</v>
      </c>
      <c r="K38" s="7">
        <v>50</v>
      </c>
      <c r="L38" s="5">
        <f t="shared" si="3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46188</v>
      </c>
      <c r="C39" s="10" t="s">
        <v>42</v>
      </c>
      <c r="D39" s="18">
        <v>0.95833333333333337</v>
      </c>
      <c r="E39" s="12">
        <v>48</v>
      </c>
      <c r="F39" s="12">
        <f t="shared" si="1"/>
        <v>-2</v>
      </c>
      <c r="G39" s="17" t="s">
        <v>6</v>
      </c>
      <c r="H39" s="13" t="s">
        <v>14</v>
      </c>
      <c r="J39" s="5">
        <f t="shared" si="2"/>
        <v>29</v>
      </c>
      <c r="K39" s="7">
        <v>50</v>
      </c>
      <c r="L39" s="5">
        <f t="shared" si="3"/>
        <v>48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46188</v>
      </c>
      <c r="C40" s="10" t="s">
        <v>42</v>
      </c>
      <c r="D40" s="18">
        <v>0.125</v>
      </c>
      <c r="E40" s="12">
        <v>48</v>
      </c>
      <c r="F40" s="12">
        <f t="shared" si="1"/>
        <v>-2</v>
      </c>
      <c r="G40" s="17" t="s">
        <v>6</v>
      </c>
      <c r="H40" s="13" t="s">
        <v>14</v>
      </c>
      <c r="J40" s="5">
        <f t="shared" si="2"/>
        <v>30</v>
      </c>
      <c r="K40" s="7">
        <v>50</v>
      </c>
      <c r="L40" s="5">
        <f t="shared" si="3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0" t="s">
        <v>32</v>
      </c>
      <c r="B41" s="16">
        <f>AVERAGE(E11:E40)</f>
        <v>47.966666666666669</v>
      </c>
      <c r="C41" s="10" t="s">
        <v>49</v>
      </c>
      <c r="D41" s="12">
        <v>52</v>
      </c>
      <c r="E41" s="12" t="s">
        <v>33</v>
      </c>
      <c r="F41" s="12">
        <v>45</v>
      </c>
      <c r="G41" s="17" t="s">
        <v>6</v>
      </c>
      <c r="H41" s="13" t="s">
        <v>14</v>
      </c>
    </row>
    <row r="42" spans="1:16" ht="20.149999999999999" customHeight="1" x14ac:dyDescent="0.45"/>
    <row r="43" spans="1:16" ht="20.149999999999999" customHeight="1" x14ac:dyDescent="0.45"/>
    <row r="44" spans="1:16" ht="20.149999999999999" customHeight="1" x14ac:dyDescent="0.45">
      <c r="A44" s="24" t="s">
        <v>7</v>
      </c>
      <c r="B44" s="14"/>
      <c r="C44" s="14"/>
      <c r="D44" s="15"/>
      <c r="E44" s="15"/>
      <c r="F44" s="15"/>
      <c r="G44" s="15"/>
      <c r="H44" s="15"/>
    </row>
    <row r="45" spans="1:16" ht="20.149999999999999" customHeight="1" x14ac:dyDescent="0.45">
      <c r="A45" s="14"/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20.149999999999999" customHeight="1" x14ac:dyDescent="0.45">
      <c r="A46" s="14"/>
      <c r="C46" s="14"/>
      <c r="D46" s="14"/>
      <c r="E46" s="14"/>
      <c r="F46" s="14"/>
      <c r="G46" s="14"/>
      <c r="H46" s="14"/>
    </row>
    <row r="47" spans="1:16" ht="20.149999999999999" customHeight="1" x14ac:dyDescent="0.45">
      <c r="A47" s="8" t="s">
        <v>13</v>
      </c>
      <c r="F47" s="9"/>
    </row>
    <row r="48" spans="1:16" ht="20.149999999999999" customHeight="1" x14ac:dyDescent="0.45">
      <c r="D48" s="25" t="s">
        <v>0</v>
      </c>
      <c r="E48" s="25"/>
      <c r="F48" s="14"/>
      <c r="G48" s="25" t="s">
        <v>1</v>
      </c>
      <c r="H48" s="25" t="s">
        <v>2</v>
      </c>
      <c r="K48" s="7"/>
      <c r="L48" s="7"/>
      <c r="M48" s="7">
        <v>35</v>
      </c>
      <c r="N48" s="7">
        <v>65</v>
      </c>
      <c r="O48" s="7">
        <v>30</v>
      </c>
      <c r="P48" s="7">
        <v>70</v>
      </c>
    </row>
    <row r="49" spans="1:16" ht="20.149999999999999" customHeight="1" x14ac:dyDescent="0.45">
      <c r="K49" s="7"/>
      <c r="L49" s="7"/>
      <c r="M49" s="7">
        <v>35</v>
      </c>
      <c r="N49" s="7">
        <v>65</v>
      </c>
      <c r="O49" s="7">
        <v>30</v>
      </c>
      <c r="P49" s="7">
        <v>70</v>
      </c>
    </row>
    <row r="50" spans="1:16" ht="20.149999999999999" customHeight="1" x14ac:dyDescent="0.45">
      <c r="K50" s="7"/>
      <c r="L50" s="7"/>
      <c r="M50" s="7"/>
      <c r="N50" s="7"/>
      <c r="O50" s="7"/>
      <c r="P50" s="7"/>
    </row>
    <row r="51" spans="1:16" ht="51" customHeight="1" x14ac:dyDescent="0.45"/>
    <row r="52" spans="1:16" ht="20.149999999999999" customHeight="1" x14ac:dyDescent="0.45"/>
    <row r="53" spans="1:16" ht="13" customHeight="1" x14ac:dyDescent="0.45"/>
    <row r="54" spans="1:16" ht="45.5" customHeight="1" x14ac:dyDescent="0.45"/>
    <row r="56" spans="1:16" ht="15" customHeight="1" x14ac:dyDescent="0.45"/>
    <row r="57" spans="1:16" ht="31.5" customHeight="1" x14ac:dyDescent="0.45">
      <c r="B57" s="19"/>
    </row>
    <row r="58" spans="1:16" ht="40" customHeight="1" x14ac:dyDescent="0.45">
      <c r="A58"/>
      <c r="C58"/>
      <c r="D58"/>
      <c r="E58"/>
      <c r="F58"/>
      <c r="G58"/>
      <c r="H58"/>
    </row>
    <row r="59" spans="1:16" ht="39.5" customHeight="1" x14ac:dyDescent="0.45">
      <c r="A59" s="20"/>
      <c r="C59" s="19"/>
      <c r="D59" s="21"/>
      <c r="E59" s="19"/>
      <c r="F59" s="21"/>
      <c r="G59" s="22"/>
      <c r="H59" s="23"/>
    </row>
    <row r="60" spans="1:16" ht="44.5" customHeight="1" x14ac:dyDescent="0.45"/>
    <row r="63" spans="1:16" customFormat="1" x14ac:dyDescent="0.45">
      <c r="A63" s="5"/>
      <c r="B63" s="5"/>
      <c r="C63" s="5"/>
      <c r="D63" s="5"/>
      <c r="E63" s="5"/>
      <c r="F63" s="5"/>
      <c r="G63" s="5"/>
      <c r="H63" s="5"/>
    </row>
    <row r="64" spans="1:16" customFormat="1" x14ac:dyDescent="0.45">
      <c r="A64" s="5"/>
      <c r="B64" s="5"/>
      <c r="C64" s="5"/>
      <c r="D64" s="5"/>
      <c r="E64" s="5"/>
      <c r="F64" s="5"/>
      <c r="G64" s="5"/>
      <c r="H64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61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2026-07-08T17:00:20Z</cp:lastPrinted>
  <dcterms:created xsi:type="dcterms:W3CDTF">2019-12-19T05:48:48Z</dcterms:created>
  <dcterms:modified xsi:type="dcterms:W3CDTF">2026-07-08T17:19:38Z</dcterms:modified>
</cp:coreProperties>
</file>